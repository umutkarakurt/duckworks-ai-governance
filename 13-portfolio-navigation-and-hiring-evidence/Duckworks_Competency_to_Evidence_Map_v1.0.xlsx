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c954e6b035b4197" /></Relationships>
</file>

<file path=xl/workbook.xml><?xml version="1.0" encoding="utf-8"?>
<x:workbook xmlns:x="http://schemas.openxmlformats.org/spreadsheetml/2006/main">
  <x:sheets>
    <x:sheet xmlns:r="http://schemas.openxmlformats.org/officeDocument/2006/relationships" name="Evaluator View" sheetId="1" r:id="R40ed29645e7e407f"/>
    <x:sheet xmlns:r="http://schemas.openxmlformats.org/officeDocument/2006/relationships" name="Evidence Map" sheetId="2" r:id="R8fb8d514306a422c"/>
    <x:sheet xmlns:r="http://schemas.openxmlformats.org/officeDocument/2006/relationships" name="Claim Boundaries" sheetId="3" r:id="R384a2d53077b456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0"/>
      <x:color rgb="FF1F2937"/>
      <x:name val="Arial"/>
    </x:font>
    <x:font>
      <x:b/>
      <x:sz val="16"/>
      <x:color rgb="FF17365D"/>
      <x:name val="Arial"/>
    </x:font>
    <x:font>
      <x:b/>
      <x:sz val="10"/>
      <x:color rgb="FFFFFFFF"/>
      <x:name val="Arial"/>
    </x:font>
    <x:font>
      <x:b/>
      <x:sz val="11"/>
      <x:color rgb="FF17365D"/>
      <x:name val="Arial"/>
    </x:font>
    <x:font>
      <x:b/>
      <x:sz val="10"/>
      <x:color rgb="FF7F6000"/>
      <x:name val="Arial"/>
    </x:font>
    <x:font>
      <x:b/>
      <x:sz val="15"/>
      <x:color rgb="FF17365D"/>
      <x:name val="Arial"/>
    </x:font>
  </x:fonts>
  <x:fills count="6">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FF2CC"/>
      </x:patternFill>
    </x:fill>
  </x:fills>
  <x:borders count="13">
    <x:border/>
    <x:border>
      <x:left style="thin">
        <x:color rgb="FFFFFFFF"/>
      </x:left>
      <x:right style="thin">
        <x:color rgb="FFFFFFFF"/>
      </x:right>
      <x:top style="thin">
        <x:color rgb="FFFFFFFF"/>
      </x:top>
      <x:bottom style="thin">
        <x:color rgb="FFFFFFFF"/>
      </x:bottom>
    </x:border>
    <x:border>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top style="thin">
        <x:color rgb="FFCBD5E1"/>
      </x:top>
    </x:border>
    <x:border>
      <x:top style="thin">
        <x:color rgb="FFCBD5E1"/>
      </x:top>
    </x:border>
    <x:border>
      <x:left style="thin">
        <x:color rgb="FFCBD5E1"/>
      </x:left>
    </x:border>
    <x:border>
      <x:right style="thin">
        <x:color rgb="FFCBD5E1"/>
      </x:right>
    </x:border>
    <x:border>
      <x:bottom style="thin">
        <x:color rgb="FFCBD5E1"/>
      </x:bottom>
    </x:border>
    <x:border>
      <x:top style="thin">
        <x:color rgb="FFCBD5E1"/>
      </x:top>
      <x:bottom style="thin">
        <x:color rgb="FFCBD5E1"/>
      </x:bottom>
    </x:border>
  </x:borders>
  <x:cellStyleXfs count="1">
    <x:xf numFmtId="0" fontId="0" fillId="0" borderId="0"/>
  </x:cellStyleXfs>
  <x:cellXfs count="109">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200" fontId="1" fillId="0" borderId="3" xfId="0" applyNumberFormat="1" applyFont="1" applyFill="1" applyBorder="1"/>
    <x:xf numFmtId="200" fontId="1" fillId="0" borderId="5" xfId="0" applyNumberFormat="1" applyFont="1" applyFill="1" applyBorder="1"/>
    <x:xf numFmtId="200" fontId="1" fillId="0" borderId="7" xfId="0" applyNumberFormat="1" applyFont="1" applyFill="1" applyBorder="1"/>
    <x:xf numFmtId="200" fontId="4" fillId="0" borderId="3" xfId="0" applyNumberFormat="1" applyFont="1" applyFill="1" applyBorder="1"/>
    <x:xf numFmtId="200" fontId="4" fillId="0" borderId="5" xfId="0" applyNumberFormat="1" applyFont="1" applyFill="1" applyBorder="1"/>
    <x:xf numFmtId="200" fontId="4" fillId="0" borderId="7"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1" fillId="4" borderId="0" xfId="0" applyNumberFormat="1" applyFont="1" applyFill="1" applyBorder="1"/>
    <x:xf numFmtId="0" fontId="1" fillId="4" borderId="7" xfId="0" applyNumberFormat="1" applyFont="1" applyFill="1" applyBorder="1"/>
    <x:xf numFmtId="0" fontId="1" fillId="4" borderId="8" xfId="0" applyNumberFormat="1" applyFont="1" applyFill="1" applyBorder="1"/>
    <x:xf numFmtId="0" fontId="1" fillId="4" borderId="6" xfId="0" applyNumberFormat="1" applyFont="1" applyFill="1" applyBorder="1"/>
    <x:xf numFmtId="0" fontId="1" fillId="4" borderId="9" xfId="0" applyNumberFormat="1" applyFont="1" applyFill="1" applyBorder="1"/>
    <x:xf numFmtId="0" fontId="1" fillId="4" borderId="10" xfId="0" applyNumberFormat="1" applyFont="1" applyFill="1" applyBorder="1"/>
    <x:xf numFmtId="0" fontId="1" fillId="4" borderId="3" xfId="0" applyNumberFormat="1" applyFont="1" applyFill="1" applyBorder="1"/>
    <x:xf numFmtId="0" fontId="1" fillId="4" borderId="11" xfId="0" applyNumberFormat="1" applyFont="1" applyFill="1" applyBorder="1"/>
    <x:xf numFmtId="0" fontId="1" fillId="4" borderId="2" xfId="0" applyNumberFormat="1" applyFont="1" applyFill="1" applyBorder="1"/>
    <x:xf numFmtId="0" fontId="1" fillId="4" borderId="7" xfId="0" applyNumberFormat="1" applyFont="1" applyFill="1" applyBorder="1" applyAlignment="1">
      <x:alignment wrapText="1"/>
    </x:xf>
    <x:xf numFmtId="0" fontId="1" fillId="4" borderId="8" xfId="0" applyNumberFormat="1" applyFont="1" applyFill="1" applyBorder="1" applyAlignment="1">
      <x:alignment wrapText="1"/>
    </x:xf>
    <x:xf numFmtId="0" fontId="1" fillId="4" borderId="6" xfId="0" applyNumberFormat="1" applyFont="1" applyFill="1" applyBorder="1" applyAlignment="1">
      <x:alignment wrapText="1"/>
    </x:xf>
    <x:xf numFmtId="0" fontId="1" fillId="4" borderId="9" xfId="0" applyNumberFormat="1" applyFont="1" applyFill="1" applyBorder="1" applyAlignment="1">
      <x:alignment wrapText="1"/>
    </x:xf>
    <x:xf numFmtId="0" fontId="1" fillId="4" borderId="0" xfId="0" applyNumberFormat="1" applyFont="1" applyFill="1" applyBorder="1" applyAlignment="1">
      <x:alignment wrapText="1"/>
    </x:xf>
    <x:xf numFmtId="0" fontId="1" fillId="4" borderId="10" xfId="0" applyNumberFormat="1" applyFont="1" applyFill="1" applyBorder="1" applyAlignment="1">
      <x:alignment wrapText="1"/>
    </x:xf>
    <x:xf numFmtId="0" fontId="1" fillId="4" borderId="3" xfId="0" applyNumberFormat="1" applyFont="1" applyFill="1" applyBorder="1" applyAlignment="1">
      <x:alignment wrapText="1"/>
    </x:xf>
    <x:xf numFmtId="0" fontId="1" fillId="4" borderId="11" xfId="0" applyNumberFormat="1" applyFont="1" applyFill="1" applyBorder="1" applyAlignment="1">
      <x:alignment wrapText="1"/>
    </x:xf>
    <x:xf numFmtId="0" fontId="1" fillId="4" borderId="2" xfId="0" applyNumberFormat="1" applyFont="1" applyFill="1" applyBorder="1" applyAlignment="1">
      <x:alignment wrapText="1"/>
    </x:xf>
    <x:xf numFmtId="0" fontId="1" fillId="4" borderId="7" xfId="0" applyNumberFormat="1" applyFont="1" applyFill="1" applyBorder="1" applyAlignment="1">
      <x:alignment vertical="top" wrapText="1"/>
    </x:xf>
    <x:xf numFmtId="0" fontId="1" fillId="4" borderId="8" xfId="0" applyNumberFormat="1" applyFont="1" applyFill="1" applyBorder="1" applyAlignment="1">
      <x:alignment vertical="top" wrapText="1"/>
    </x:xf>
    <x:xf numFmtId="0" fontId="1" fillId="4" borderId="6"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0"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1" fillId="4" borderId="11" xfId="0" applyNumberFormat="1" applyFont="1" applyFill="1" applyBorder="1" applyAlignment="1">
      <x:alignment vertical="top" wrapText="1"/>
    </x:xf>
    <x:xf numFmtId="0" fontId="1" fillId="4" borderId="2" xfId="0" applyNumberFormat="1" applyFont="1" applyFill="1" applyBorder="1" applyAlignment="1">
      <x:alignment vertical="top" wrapText="1"/>
    </x:xf>
    <x:xf numFmtId="0" fontId="1" fillId="5" borderId="0" xfId="0" applyNumberFormat="1" applyFont="1" applyFill="1" applyBorder="1"/>
    <x:xf numFmtId="0" fontId="5" fillId="5" borderId="0"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10" xfId="0" applyNumberFormat="1" applyFont="1" applyFill="1" applyBorder="1"/>
    <x:xf numFmtId="0" fontId="1" fillId="0" borderId="11" xfId="0" applyNumberFormat="1" applyFont="1" applyFill="1" applyBorder="1"/>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10"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1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3" borderId="0" xfId="0" applyNumberFormat="1" applyFont="1" applyFill="1" applyBorder="1" applyAlignment="1">
      <x:alignment horizontal="left" vertical="center"/>
    </x:xf>
    <x:xf numFmtId="0" fontId="1" fillId="0" borderId="2" xfId="0" applyNumberFormat="1" applyFont="1" applyFill="1" applyBorder="1" applyAlignment="1">
      <x:alignment vertical="center"/>
    </x:xf>
    <x:xf numFmtId="200" fontId="4" fillId="0" borderId="3" xfId="0" applyNumberFormat="1" applyFont="1" applyFill="1" applyBorder="1" applyAlignment="1">
      <x:alignment vertical="center"/>
    </x:xf>
    <x:xf numFmtId="0" fontId="1" fillId="4" borderId="7" xfId="0" applyNumberFormat="1" applyFont="1" applyFill="1" applyBorder="1" applyAlignment="1">
      <x:alignment vertical="center" wrapText="1"/>
    </x:xf>
    <x:xf numFmtId="0" fontId="1" fillId="4" borderId="8" xfId="0" applyNumberFormat="1" applyFont="1" applyFill="1" applyBorder="1" applyAlignment="1">
      <x:alignment vertical="center" wrapText="1"/>
    </x:xf>
    <x:xf numFmtId="0" fontId="1" fillId="4" borderId="6" xfId="0" applyNumberFormat="1" applyFont="1" applyFill="1" applyBorder="1" applyAlignment="1">
      <x:alignment vertical="center" wrapText="1"/>
    </x:xf>
    <x:xf numFmtId="0" fontId="1" fillId="0" borderId="4" xfId="0" applyNumberFormat="1" applyFont="1" applyFill="1" applyBorder="1" applyAlignment="1">
      <x:alignment vertical="center"/>
    </x:xf>
    <x:xf numFmtId="200" fontId="4" fillId="0" borderId="5" xfId="0" applyNumberFormat="1" applyFont="1" applyFill="1" applyBorder="1" applyAlignment="1">
      <x:alignment vertical="center"/>
    </x:xf>
    <x:xf numFmtId="0" fontId="1" fillId="4" borderId="9"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4" borderId="10" xfId="0" applyNumberFormat="1" applyFont="1" applyFill="1" applyBorder="1" applyAlignment="1">
      <x:alignment vertical="center" wrapText="1"/>
    </x:xf>
    <x:xf numFmtId="0" fontId="1" fillId="4" borderId="3" xfId="0" applyNumberFormat="1" applyFont="1" applyFill="1" applyBorder="1" applyAlignment="1">
      <x:alignment vertical="center" wrapText="1"/>
    </x:xf>
    <x:xf numFmtId="0" fontId="1" fillId="4" borderId="11" xfId="0" applyNumberFormat="1" applyFont="1" applyFill="1" applyBorder="1" applyAlignment="1">
      <x:alignment vertical="center" wrapText="1"/>
    </x:xf>
    <x:xf numFmtId="0" fontId="1" fillId="4" borderId="2" xfId="0" applyNumberFormat="1" applyFont="1" applyFill="1" applyBorder="1" applyAlignment="1">
      <x:alignment vertical="center" wrapText="1"/>
    </x:xf>
    <x:xf numFmtId="0" fontId="1" fillId="0" borderId="6" xfId="0" applyNumberFormat="1" applyFont="1" applyFill="1" applyBorder="1" applyAlignment="1">
      <x:alignment vertical="center"/>
    </x:xf>
    <x:xf numFmtId="200" fontId="4" fillId="0" borderId="7" xfId="0" applyNumberFormat="1" applyFont="1" applyFill="1" applyBorder="1" applyAlignment="1">
      <x:alignment vertical="center"/>
    </x:xf>
    <x:xf numFmtId="0" fontId="5" fillId="5" borderId="0" xfId="0" applyNumberFormat="1" applyFont="1" applyFill="1" applyBorder="1" applyAlignment="1">
      <x:alignment vertical="center"/>
    </x:xf>
    <x:xf numFmtId="0" fontId="1" fillId="0" borderId="7" xfId="0" applyNumberFormat="1" applyFont="1" applyFill="1" applyBorder="1" applyAlignment="1">
      <x:alignment vertical="center" wrapText="1"/>
    </x:xf>
    <x:xf numFmtId="0" fontId="1" fillId="0" borderId="8" xfId="0" applyNumberFormat="1" applyFont="1" applyFill="1" applyBorder="1" applyAlignment="1">
      <x:alignment vertical="center" wrapText="1"/>
    </x:xf>
    <x:xf numFmtId="0" fontId="1" fillId="0" borderId="6" xfId="0" applyNumberFormat="1" applyFont="1" applyFill="1" applyBorder="1" applyAlignment="1">
      <x:alignment vertical="center" wrapText="1"/>
    </x:xf>
    <x:xf numFmtId="0" fontId="1" fillId="0" borderId="9"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0" borderId="10"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0" fontId="1" fillId="0" borderId="11" xfId="0" applyNumberFormat="1" applyFont="1" applyFill="1" applyBorder="1" applyAlignment="1">
      <x:alignment vertical="center" wrapText="1"/>
    </x:xf>
    <x:xf numFmtId="0" fontId="1" fillId="0" borderId="2" xfId="0" applyNumberFormat="1" applyFont="1" applyFill="1" applyBorder="1" applyAlignment="1">
      <x:alignment vertical="center" wrapText="1"/>
    </x:xf>
    <x:xf numFmtId="0" fontId="6" fillId="0"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1" xfId="0" applyNumberFormat="1" applyFont="1" applyFill="1" applyBorder="1" applyAlignment="1">
      <x:alignment horizontal="center" vertical="center" wrapText="1"/>
    </x:xf>
    <x:xf numFmtId="0" fontId="1" fillId="0" borderId="12" xfId="0" applyNumberFormat="1" applyFont="1" applyFill="1" applyBorder="1" applyAlignment="1">
      <x:alignment vertical="top" wrapText="1"/>
    </x:xf>
  </x:cellXfs>
  <x:cellStyles count="1">
    <x:cellStyle name="Normal" xfId="0"/>
  </x:cellStyles>
  <x:dxfs count="4">
    <x:dxf>
      <x:font>
        <x:b/>
        <x:color rgb="FF17365D"/>
      </x:font>
      <x:fill>
        <x:patternFill patternType="solid">
          <x:bgColor rgb="FFD9EAF7"/>
        </x:patternFill>
      </x:fill>
    </x:dxf>
    <x:dxf>
      <x:font>
        <x:b/>
        <x:color rgb="FF7F6000"/>
      </x:font>
      <x:fill>
        <x:patternFill patternType="solid">
          <x:bgColor rgb="FFFFF2CC"/>
        </x:patternFill>
      </x:fill>
    </x:dxf>
    <x:dxf>
      <x:font>
        <x:b/>
        <x:color rgb="FF17365D"/>
      </x:font>
      <x:fill>
        <x:patternFill patternType="solid">
          <x:bgColor rgb="FFD9EAF7"/>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ac2daec03f455c" /><Relationship Type="http://schemas.openxmlformats.org/officeDocument/2006/relationships/theme" Target="/xl/theme/theme1.xml" Id="R1ca4872189bc41fa" /><Relationship Type="http://schemas.openxmlformats.org/officeDocument/2006/relationships/sharedStrings" Target="/xl/sharedStrings.xml" Id="R51ad67831eb74930" /><Relationship Type="http://schemas.openxmlformats.org/officeDocument/2006/relationships/worksheet" Target="/xl/worksheets/sheet1.xml" Id="R40ed29645e7e407f" /><Relationship Type="http://schemas.openxmlformats.org/officeDocument/2006/relationships/worksheet" Target="/xl/worksheets/sheet2.xml" Id="R8fb8d514306a422c" /><Relationship Type="http://schemas.openxmlformats.org/officeDocument/2006/relationships/worksheet" Target="/xl/worksheets/sheet3.xml" Id="R384a2d53077b4567" /></Relationships>
</file>

<file path=xl/tables/table1.xml><?xml version="1.0" encoding="utf-8"?>
<x:table xmlns:x="http://schemas.openxmlformats.org/spreadsheetml/2006/main" id="1" name="CompetencyEvidenceTable" displayName="CompetencyEvidenceTable" ref="A5:I19" headerRowCount="1" totalsRowCount="0" totalsRowShown="0">
  <x:tableColumns count="9">
    <x:tableColumn id="1" name="Competency_ID"/>
    <x:tableColumn id="2" name="Competency"/>
    <x:tableColumn id="3" name="Demonstrated_Capability"/>
    <x:tableColumn id="4" name="Primary_Evidence_Path"/>
    <x:tableColumn id="5" name="Secondary_Evidence_Path"/>
    <x:tableColumn id="6" name="Evidence_Type"/>
    <x:tableColumn id="7" name="Strength"/>
    <x:tableColumn id="8" name="Material_Limitation"/>
    <x:tableColumn id="9" name="Interview_Case"/>
  </x:tableColumns>
  <x:tableStyleInfo name="TableStyleMedium2" showFirstColumn="0" showLastColumn="0" showRowStripes="1" showColumnStripes="0"/>
</x:table>
</file>

<file path=xl/tables/table2.xml><?xml version="1.0" encoding="utf-8"?>
<x:table xmlns:x="http://schemas.openxmlformats.org/spreadsheetml/2006/main" id="2" name="ClaimBoundaryTable" displayName="ClaimBoundaryTable" ref="A5:G17" headerRowCount="1" totalsRowCount="0" totalsRowShown="0">
  <x:tableColumns count="7">
    <x:tableColumn id="1" name="Claim_ID"/>
    <x:tableColumn id="2" name="Topic"/>
    <x:tableColumn id="3" name="Supported_Wording"/>
    <x:tableColumn id="4" name="Avoid_Wording"/>
    <x:tableColumn id="5" name="Evidence_Path"/>
    <x:tableColumn id="6" name="Boundary"/>
    <x:tableColumn id="7"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233d33d9b504ddc" /></Relationships>
</file>

<file path=xl/worksheets/_rels/sheet3.xml.rels>&#65279;<?xml version="1.0" encoding="utf-8"?><Relationships xmlns="http://schemas.openxmlformats.org/package/2006/relationships"><Relationship Type="http://schemas.openxmlformats.org/officeDocument/2006/relationships/table" Target="/xl/tables/table2.xml" Id="R37fd209bc40341c4"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3" hidden="0" customWidth="1"/>
    <x:col min="4" max="4" width="16" hidden="0" customWidth="1"/>
    <x:col min="5" max="5" width="16" hidden="0" customWidth="1"/>
    <x:col min="6" max="6" width="16" hidden="0" customWidth="1"/>
    <x:col min="7" max="7" width="16" hidden="0" customWidth="1"/>
    <x:col min="8" max="8" width="16" hidden="0" customWidth="1"/>
  </x:cols>
  <x:sheetData>
    <x:row r="1">
      <x:c r="A1" s="74"/>
      <x:c r="B1" s="74"/>
      <x:c r="C1" s="74"/>
      <x:c r="D1" s="74"/>
      <x:c r="E1" s="74"/>
      <x:c r="F1" s="74"/>
      <x:c r="G1" s="74"/>
      <x:c r="H1" s="74"/>
      <x:c r="I1" s="1"/>
      <x:c r="J1" s="1"/>
      <x:c r="K1" s="1"/>
      <x:c r="L1" s="1"/>
      <x:c r="M1" s="1"/>
      <x:c r="N1" s="1"/>
      <x:c r="O1" s="1"/>
      <x:c r="P1" s="1"/>
      <x:c r="Q1" s="1"/>
      <x:c r="R1" s="1"/>
      <x:c r="S1" s="1"/>
      <x:c r="T1" s="1"/>
      <x:c r="U1" s="1"/>
      <x:c r="V1" s="1"/>
      <x:c r="W1" s="1"/>
      <x:c r="X1" s="1"/>
      <x:c r="Y1" s="1"/>
      <x:c r="Z1" s="1"/>
    </x:row>
    <x:row r="2" ht="28" customHeight="1">
      <x:c r="A2" s="75" t="str">
        <x:v>Project W.I.N.G. — Competency and Evidence Map</x:v>
      </x:c>
      <x:c r="B2" s="74"/>
      <x:c r="C2" s="74"/>
      <x:c r="D2" s="74"/>
      <x:c r="E2" s="74"/>
      <x:c r="F2" s="74"/>
      <x:c r="G2" s="74"/>
      <x:c r="H2" s="74"/>
      <x:c r="I2" s="1"/>
      <x:c r="J2" s="1"/>
      <x:c r="K2" s="1"/>
      <x:c r="L2" s="1"/>
      <x:c r="M2" s="1"/>
      <x:c r="N2" s="1"/>
      <x:c r="O2" s="1"/>
      <x:c r="P2" s="1"/>
      <x:c r="Q2" s="1"/>
      <x:c r="R2" s="1"/>
      <x:c r="S2" s="1"/>
      <x:c r="T2" s="1"/>
      <x:c r="U2" s="1"/>
      <x:c r="V2" s="1"/>
      <x:c r="W2" s="1"/>
      <x:c r="X2" s="1"/>
      <x:c r="Y2" s="1"/>
      <x:c r="Z2" s="1"/>
    </x:row>
    <x:row r="3">
      <x:c r="A3" s="76"/>
      <x:c r="B3" s="76"/>
      <x:c r="C3" s="76"/>
      <x:c r="D3" s="76"/>
      <x:c r="E3" s="76"/>
      <x:c r="F3" s="76"/>
      <x:c r="G3" s="76"/>
      <x:c r="H3" s="76"/>
      <x:c r="I3" s="1"/>
      <x:c r="J3" s="1"/>
      <x:c r="K3" s="1"/>
      <x:c r="L3" s="1"/>
      <x:c r="M3" s="1"/>
      <x:c r="N3" s="1"/>
      <x:c r="O3" s="1"/>
      <x:c r="P3" s="1"/>
      <x:c r="Q3" s="1"/>
      <x:c r="R3" s="1"/>
      <x:c r="S3" s="1"/>
      <x:c r="T3" s="1"/>
      <x:c r="U3" s="1"/>
      <x:c r="V3" s="1"/>
      <x:c r="W3" s="1"/>
      <x:c r="X3" s="1"/>
      <x:c r="Y3" s="1"/>
      <x:c r="Z3" s="1"/>
    </x:row>
    <x:row r="4">
      <x:c r="A4" s="74"/>
      <x:c r="B4" s="74"/>
      <x:c r="C4" s="74"/>
      <x:c r="D4" s="74"/>
      <x:c r="E4" s="74"/>
      <x:c r="F4" s="74"/>
      <x:c r="G4" s="74"/>
      <x:c r="H4" s="74"/>
      <x:c r="I4" s="1"/>
      <x:c r="J4" s="1"/>
      <x:c r="K4" s="1"/>
      <x:c r="L4" s="1"/>
      <x:c r="M4" s="1"/>
      <x:c r="N4" s="1"/>
      <x:c r="O4" s="1"/>
      <x:c r="P4" s="1"/>
      <x:c r="Q4" s="1"/>
      <x:c r="R4" s="1"/>
      <x:c r="S4" s="1"/>
      <x:c r="T4" s="1"/>
      <x:c r="U4" s="1"/>
      <x:c r="V4" s="1"/>
      <x:c r="W4" s="1"/>
      <x:c r="X4" s="1"/>
      <x:c r="Y4" s="1"/>
      <x:c r="Z4" s="1"/>
    </x:row>
    <x:row r="5">
      <x:c r="A5" s="7" t="str">
        <x:v>Portfolio measure</x:v>
      </x:c>
      <x:c r="B5" s="7" t="str">
        <x:v>Value</x:v>
      </x:c>
      <x:c r="C5" s="74"/>
      <x:c r="D5" s="77" t="str">
        <x:v>How to use this workbook</x:v>
      </x:c>
      <x:c r="E5" s="77"/>
      <x:c r="F5" s="77"/>
      <x:c r="G5" s="77"/>
      <x:c r="H5" s="77"/>
      <x:c r="I5" s="1"/>
      <x:c r="J5" s="1"/>
      <x:c r="K5" s="1"/>
      <x:c r="L5" s="1"/>
      <x:c r="M5" s="1"/>
      <x:c r="N5" s="1"/>
      <x:c r="O5" s="1"/>
      <x:c r="P5" s="1"/>
      <x:c r="Q5" s="1"/>
      <x:c r="R5" s="1"/>
      <x:c r="S5" s="1"/>
      <x:c r="T5" s="1"/>
      <x:c r="U5" s="1"/>
      <x:c r="V5" s="1"/>
      <x:c r="W5" s="1"/>
      <x:c r="X5" s="1"/>
      <x:c r="Y5" s="1"/>
      <x:c r="Z5" s="1"/>
    </x:row>
    <x:row r="6" ht="24" customHeight="1">
      <x:c r="A6" s="78" t="str">
        <x:v>Mapped competencies</x:v>
      </x:c>
      <x:c r="B6" s="79" t="n">
        <x:f>COUNTA('Evidence Map'!A6:A100)</x:f>
        <x:v>14</x:v>
      </x:c>
      <x:c r="C6" s="74"/>
      <x:c r="D6" s="80" t="str">
        <x:v>Filter Evidence Map by target competency, evidence type or interview case. Open the primary repository path and inspect the cited artifact. Read the material limitation before using the mapping in an application or interview. Claim Boundaries provides supported wording and identifies statements the synthetic portfolio cannot substantiate.</x:v>
      </x:c>
      <x:c r="E6" s="81"/>
      <x:c r="F6" s="81"/>
      <x:c r="G6" s="81"/>
      <x:c r="H6" s="82"/>
      <x:c r="I6" s="1"/>
      <x:c r="J6" s="1"/>
      <x:c r="K6" s="1"/>
      <x:c r="L6" s="1"/>
      <x:c r="M6" s="1"/>
      <x:c r="N6" s="1"/>
      <x:c r="O6" s="1"/>
      <x:c r="P6" s="1"/>
      <x:c r="Q6" s="1"/>
      <x:c r="R6" s="1"/>
      <x:c r="S6" s="1"/>
      <x:c r="T6" s="1"/>
      <x:c r="U6" s="1"/>
      <x:c r="V6" s="1"/>
      <x:c r="W6" s="1"/>
      <x:c r="X6" s="1"/>
      <x:c r="Y6" s="1"/>
      <x:c r="Z6" s="1"/>
    </x:row>
    <x:row r="7" ht="24" customHeight="1">
      <x:c r="A7" s="83" t="str">
        <x:v>Strong evidence mappings</x:v>
      </x:c>
      <x:c r="B7" s="84" t="n">
        <x:f>COUNTIF('Evidence Map'!G6:G100,"Strong")</x:f>
        <x:v>13</x:v>
      </x:c>
      <x:c r="C7" s="74"/>
      <x:c r="D7" s="85"/>
      <x:c r="E7" s="86"/>
      <x:c r="F7" s="86"/>
      <x:c r="G7" s="86"/>
      <x:c r="H7" s="87"/>
      <x:c r="I7" s="1"/>
      <x:c r="J7" s="1"/>
      <x:c r="K7" s="1"/>
      <x:c r="L7" s="1"/>
      <x:c r="M7" s="1"/>
      <x:c r="N7" s="1"/>
      <x:c r="O7" s="1"/>
      <x:c r="P7" s="1"/>
      <x:c r="Q7" s="1"/>
      <x:c r="R7" s="1"/>
      <x:c r="S7" s="1"/>
      <x:c r="T7" s="1"/>
      <x:c r="U7" s="1"/>
      <x:c r="V7" s="1"/>
      <x:c r="W7" s="1"/>
      <x:c r="X7" s="1"/>
      <x:c r="Y7" s="1"/>
      <x:c r="Z7" s="1"/>
    </x:row>
    <x:row r="8" ht="24" customHeight="1">
      <x:c r="A8" s="83" t="str">
        <x:v>Claim boundaries</x:v>
      </x:c>
      <x:c r="B8" s="84" t="n">
        <x:f>COUNTA('Claim Boundaries'!A6:A100)</x:f>
        <x:v>12</x:v>
      </x:c>
      <x:c r="C8" s="74"/>
      <x:c r="D8" s="85"/>
      <x:c r="E8" s="86"/>
      <x:c r="F8" s="86"/>
      <x:c r="G8" s="86"/>
      <x:c r="H8" s="87"/>
      <x:c r="I8" s="1"/>
      <x:c r="J8" s="1"/>
      <x:c r="K8" s="1"/>
      <x:c r="L8" s="1"/>
      <x:c r="M8" s="1"/>
      <x:c r="N8" s="1"/>
      <x:c r="O8" s="1"/>
      <x:c r="P8" s="1"/>
      <x:c r="Q8" s="1"/>
      <x:c r="R8" s="1"/>
      <x:c r="S8" s="1"/>
      <x:c r="T8" s="1"/>
      <x:c r="U8" s="1"/>
      <x:c r="V8" s="1"/>
      <x:c r="W8" s="1"/>
      <x:c r="X8" s="1"/>
      <x:c r="Y8" s="1"/>
      <x:c r="Z8" s="1"/>
    </x:row>
    <x:row r="9" ht="24" customHeight="1">
      <x:c r="A9" s="83" t="str">
        <x:v>Invalid claim statuses</x:v>
      </x:c>
      <x:c r="B9" s="84" t="n">
        <x:f>COUNTIFS('Claim Boundaries'!A6:A100,"&lt;&gt;",'Claim Boundaries'!G6:G100,"&lt;&gt;Allowed with boundary")</x:f>
        <x:v>0</x:v>
      </x:c>
      <x:c r="C9" s="74"/>
      <x:c r="D9" s="85"/>
      <x:c r="E9" s="86"/>
      <x:c r="F9" s="86"/>
      <x:c r="G9" s="86"/>
      <x:c r="H9" s="87"/>
      <x:c r="I9" s="1"/>
      <x:c r="J9" s="1"/>
      <x:c r="K9" s="1"/>
      <x:c r="L9" s="1"/>
      <x:c r="M9" s="1"/>
      <x:c r="N9" s="1"/>
      <x:c r="O9" s="1"/>
      <x:c r="P9" s="1"/>
      <x:c r="Q9" s="1"/>
      <x:c r="R9" s="1"/>
      <x:c r="S9" s="1"/>
      <x:c r="T9" s="1"/>
      <x:c r="U9" s="1"/>
      <x:c r="V9" s="1"/>
      <x:c r="W9" s="1"/>
      <x:c r="X9" s="1"/>
      <x:c r="Y9" s="1"/>
      <x:c r="Z9" s="1"/>
    </x:row>
    <x:row r="10" ht="24" customHeight="1">
      <x:c r="A10" s="83" t="str">
        <x:v>Missing competency limitations</x:v>
      </x:c>
      <x:c r="B10" s="84" t="n">
        <x:f>COUNTBLANK('Evidence Map'!H6:H19)</x:f>
        <x:v>0</x:v>
      </x:c>
      <x:c r="C10" s="74"/>
      <x:c r="D10" s="88"/>
      <x:c r="E10" s="89"/>
      <x:c r="F10" s="89"/>
      <x:c r="G10" s="89"/>
      <x:c r="H10" s="90"/>
      <x:c r="I10" s="1"/>
      <x:c r="J10" s="1"/>
      <x:c r="K10" s="1"/>
      <x:c r="L10" s="1"/>
      <x:c r="M10" s="1"/>
      <x:c r="N10" s="1"/>
      <x:c r="O10" s="1"/>
      <x:c r="P10" s="1"/>
      <x:c r="Q10" s="1"/>
      <x:c r="R10" s="1"/>
      <x:c r="S10" s="1"/>
      <x:c r="T10" s="1"/>
      <x:c r="U10" s="1"/>
      <x:c r="V10" s="1"/>
      <x:c r="W10" s="1"/>
      <x:c r="X10" s="1"/>
      <x:c r="Y10" s="1"/>
      <x:c r="Z10" s="1"/>
    </x:row>
    <x:row r="11">
      <x:c r="A11" s="91" t="str">
        <x:v>Interview cases</x:v>
      </x:c>
      <x:c r="B11" s="92" t="n">
        <x:v>6</x:v>
      </x:c>
      <x:c r="C11" s="74"/>
      <x:c r="D11" s="74"/>
      <x:c r="E11" s="74"/>
      <x:c r="F11" s="74"/>
      <x:c r="G11" s="74"/>
      <x:c r="H11" s="74"/>
      <x:c r="I11" s="1"/>
      <x:c r="J11" s="1"/>
      <x:c r="K11" s="1"/>
      <x:c r="L11" s="1"/>
      <x:c r="M11" s="1"/>
      <x:c r="N11" s="1"/>
      <x:c r="O11" s="1"/>
      <x:c r="P11" s="1"/>
      <x:c r="Q11" s="1"/>
      <x:c r="R11" s="1"/>
      <x:c r="S11" s="1"/>
      <x:c r="T11" s="1"/>
      <x:c r="U11" s="1"/>
      <x:c r="V11" s="1"/>
      <x:c r="W11" s="1"/>
      <x:c r="X11" s="1"/>
      <x:c r="Y11" s="1"/>
      <x:c r="Z11" s="1"/>
    </x:row>
    <x:row r="12">
      <x:c r="A12" s="74"/>
      <x:c r="B12" s="74"/>
      <x:c r="C12" s="74"/>
      <x:c r="D12" s="74"/>
      <x:c r="E12" s="74"/>
      <x:c r="F12" s="74"/>
      <x:c r="G12" s="74"/>
      <x:c r="H12" s="74"/>
      <x:c r="I12" s="1"/>
      <x:c r="J12" s="1"/>
      <x:c r="K12" s="1"/>
      <x:c r="L12" s="1"/>
      <x:c r="M12" s="1"/>
      <x:c r="N12" s="1"/>
      <x:c r="O12" s="1"/>
      <x:c r="P12" s="1"/>
      <x:c r="Q12" s="1"/>
      <x:c r="R12" s="1"/>
      <x:c r="S12" s="1"/>
      <x:c r="T12" s="1"/>
      <x:c r="U12" s="1"/>
      <x:c r="V12" s="1"/>
      <x:c r="W12" s="1"/>
      <x:c r="X12" s="1"/>
      <x:c r="Y12" s="1"/>
      <x:c r="Z12" s="1"/>
    </x:row>
    <x:row r="13">
      <x:c r="A13" s="74"/>
      <x:c r="B13" s="74"/>
      <x:c r="C13" s="74"/>
      <x:c r="D13" s="74"/>
      <x:c r="E13" s="74"/>
      <x:c r="F13" s="74"/>
      <x:c r="G13" s="74"/>
      <x:c r="H13" s="74"/>
      <x:c r="I13" s="1"/>
      <x:c r="J13" s="1"/>
      <x:c r="K13" s="1"/>
      <x:c r="L13" s="1"/>
      <x:c r="M13" s="1"/>
      <x:c r="N13" s="1"/>
      <x:c r="O13" s="1"/>
      <x:c r="P13" s="1"/>
      <x:c r="Q13" s="1"/>
      <x:c r="R13" s="1"/>
      <x:c r="S13" s="1"/>
      <x:c r="T13" s="1"/>
      <x:c r="U13" s="1"/>
      <x:c r="V13" s="1"/>
      <x:c r="W13" s="1"/>
      <x:c r="X13" s="1"/>
      <x:c r="Y13" s="1"/>
      <x:c r="Z13" s="1"/>
    </x:row>
    <x:row r="14">
      <x:c r="A14" s="93" t="str">
        <x:v>Evidence boundary</x:v>
      </x:c>
      <x:c r="B14" s="93"/>
      <x:c r="C14" s="93"/>
      <x:c r="D14" s="93"/>
      <x:c r="E14" s="93"/>
      <x:c r="F14" s="93"/>
      <x:c r="G14" s="93"/>
      <x:c r="H14" s="93"/>
      <x:c r="I14" s="1"/>
      <x:c r="J14" s="1"/>
      <x:c r="K14" s="1"/>
      <x:c r="L14" s="1"/>
      <x:c r="M14" s="1"/>
      <x:c r="N14" s="1"/>
      <x:c r="O14" s="1"/>
      <x:c r="P14" s="1"/>
      <x:c r="Q14" s="1"/>
      <x:c r="R14" s="1"/>
      <x:c r="S14" s="1"/>
      <x:c r="T14" s="1"/>
      <x:c r="U14" s="1"/>
      <x:c r="V14" s="1"/>
      <x:c r="W14" s="1"/>
      <x:c r="X14" s="1"/>
      <x:c r="Y14" s="1"/>
      <x:c r="Z14" s="1"/>
    </x:row>
    <x:row r="15" ht="22" customHeight="1">
      <x:c r="A15" s="94" t="str">
        <x:v>Duckworks and its records are fictional or synthetic unless explicitly identified otherwise. This workbook maps demonstrated portfolio capability. It does not prove production operation, legal compliance, certification, independent assurance, delegated authority or hiring outcomes.</x:v>
      </x:c>
      <x:c r="B15" s="95"/>
      <x:c r="C15" s="95"/>
      <x:c r="D15" s="95"/>
      <x:c r="E15" s="95"/>
      <x:c r="F15" s="95"/>
      <x:c r="G15" s="95"/>
      <x:c r="H15" s="96"/>
      <x:c r="I15" s="1"/>
      <x:c r="J15" s="1"/>
      <x:c r="K15" s="1"/>
      <x:c r="L15" s="1"/>
      <x:c r="M15" s="1"/>
      <x:c r="N15" s="1"/>
      <x:c r="O15" s="1"/>
      <x:c r="P15" s="1"/>
      <x:c r="Q15" s="1"/>
      <x:c r="R15" s="1"/>
      <x:c r="S15" s="1"/>
      <x:c r="T15" s="1"/>
      <x:c r="U15" s="1"/>
      <x:c r="V15" s="1"/>
      <x:c r="W15" s="1"/>
      <x:c r="X15" s="1"/>
      <x:c r="Y15" s="1"/>
      <x:c r="Z15" s="1"/>
    </x:row>
    <x:row r="16" ht="22" customHeight="1">
      <x:c r="A16" s="97"/>
      <x:c r="B16" s="98"/>
      <x:c r="C16" s="98"/>
      <x:c r="D16" s="98"/>
      <x:c r="E16" s="98"/>
      <x:c r="F16" s="98"/>
      <x:c r="G16" s="98"/>
      <x:c r="H16" s="99"/>
      <x:c r="I16" s="1"/>
      <x:c r="J16" s="1"/>
      <x:c r="K16" s="1"/>
      <x:c r="L16" s="1"/>
      <x:c r="M16" s="1"/>
      <x:c r="N16" s="1"/>
      <x:c r="O16" s="1"/>
      <x:c r="P16" s="1"/>
      <x:c r="Q16" s="1"/>
      <x:c r="R16" s="1"/>
      <x:c r="S16" s="1"/>
      <x:c r="T16" s="1"/>
      <x:c r="U16" s="1"/>
      <x:c r="V16" s="1"/>
      <x:c r="W16" s="1"/>
      <x:c r="X16" s="1"/>
      <x:c r="Y16" s="1"/>
      <x:c r="Z16" s="1"/>
    </x:row>
    <x:row r="17" ht="22" customHeight="1">
      <x:c r="A17" s="100"/>
      <x:c r="B17" s="101"/>
      <x:c r="C17" s="101"/>
      <x:c r="D17" s="101"/>
      <x:c r="E17" s="101"/>
      <x:c r="F17" s="101"/>
      <x:c r="G17" s="101"/>
      <x:c r="H17" s="102"/>
      <x:c r="I17" s="1"/>
      <x:c r="J17" s="1"/>
      <x:c r="K17" s="1"/>
      <x:c r="L17" s="1"/>
      <x:c r="M17" s="1"/>
      <x:c r="N17" s="1"/>
      <x:c r="O17" s="1"/>
      <x:c r="P17" s="1"/>
      <x:c r="Q17" s="1"/>
      <x:c r="R17" s="1"/>
      <x:c r="S17" s="1"/>
      <x:c r="T17" s="1"/>
      <x:c r="U17" s="1"/>
      <x:c r="V17" s="1"/>
      <x:c r="W17" s="1"/>
      <x:c r="X17" s="1"/>
      <x:c r="Y17" s="1"/>
      <x:c r="Z17" s="1"/>
    </x:row>
    <x:row r="18">
      <x:c r="A18" s="74"/>
      <x:c r="B18" s="74"/>
      <x:c r="C18" s="74"/>
      <x:c r="D18" s="74"/>
      <x:c r="E18" s="74"/>
      <x:c r="F18" s="74"/>
      <x:c r="G18" s="74"/>
      <x:c r="H18" s="74"/>
      <x:c r="I18" s="1"/>
      <x:c r="J18" s="1"/>
      <x:c r="K18" s="1"/>
      <x:c r="L18" s="1"/>
      <x:c r="M18" s="1"/>
      <x:c r="N18" s="1"/>
      <x:c r="O18" s="1"/>
      <x:c r="P18" s="1"/>
      <x:c r="Q18" s="1"/>
      <x:c r="R18" s="1"/>
      <x:c r="S18" s="1"/>
      <x:c r="T18" s="1"/>
      <x:c r="U18" s="1"/>
      <x:c r="V18" s="1"/>
      <x:c r="W18" s="1"/>
      <x:c r="X18" s="1"/>
      <x:c r="Y18" s="1"/>
      <x:c r="Z18" s="1"/>
    </x:row>
    <x:row r="19">
      <x:c r="A19" s="74"/>
      <x:c r="B19" s="74"/>
      <x:c r="C19" s="74"/>
      <x:c r="D19" s="74"/>
      <x:c r="E19" s="74"/>
      <x:c r="F19" s="74"/>
      <x:c r="G19" s="74"/>
      <x:c r="H19" s="74"/>
      <x:c r="I19" s="1"/>
      <x:c r="J19" s="1"/>
      <x:c r="K19" s="1"/>
      <x:c r="L19" s="1"/>
      <x:c r="M19" s="1"/>
      <x:c r="N19" s="1"/>
      <x:c r="O19" s="1"/>
      <x:c r="P19" s="1"/>
      <x:c r="Q19" s="1"/>
      <x:c r="R19" s="1"/>
      <x:c r="S19" s="1"/>
      <x:c r="T19" s="1"/>
      <x:c r="U19" s="1"/>
      <x:c r="V19" s="1"/>
      <x:c r="W19" s="1"/>
      <x:c r="X19" s="1"/>
      <x:c r="Y19" s="1"/>
      <x:c r="Z19" s="1"/>
    </x:row>
    <x:row r="20">
      <x:c r="A20" s="74"/>
      <x:c r="B20" s="74"/>
      <x:c r="C20" s="74"/>
      <x:c r="D20" s="74"/>
      <x:c r="E20" s="74"/>
      <x:c r="F20" s="74"/>
      <x:c r="G20" s="74"/>
      <x:c r="H20" s="74"/>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2:H2"/>
    <x:mergeCell ref="D5:H5"/>
    <x:mergeCell ref="D6:H10"/>
    <x:mergeCell ref="A14:H14"/>
    <x:mergeCell ref="A15:H17"/>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27" hidden="0" customWidth="1"/>
    <x:col min="3" max="3" width="42" hidden="0" customWidth="1"/>
    <x:col min="4" max="4" width="49" hidden="0" customWidth="1"/>
    <x:col min="5" max="5" width="49" hidden="0" customWidth="1"/>
    <x:col min="6" max="6" width="24" hidden="0" customWidth="1"/>
    <x:col min="7" max="7" width="12" hidden="0" customWidth="1"/>
    <x:col min="8" max="8" width="48" hidden="0" customWidth="1"/>
    <x:col min="9" max="9" width="14"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103" t="str">
        <x:v>Competency-to-Evidence Map</x:v>
      </x:c>
      <x:c r="B2" s="1"/>
      <x:c r="C2" s="1"/>
      <x:c r="D2" s="1"/>
      <x:c r="E2" s="1"/>
      <x:c r="F2" s="1"/>
      <x:c r="G2" s="1"/>
      <x:c r="H2" s="1"/>
      <x:c r="I2" s="1"/>
      <x:c r="J2" s="1"/>
      <x:c r="K2" s="1"/>
      <x:c r="L2" s="1"/>
      <x:c r="M2" s="1"/>
      <x:c r="N2" s="1"/>
      <x:c r="O2" s="1"/>
      <x:c r="P2" s="1"/>
      <x:c r="Q2" s="1"/>
      <x:c r="R2" s="1"/>
      <x:c r="S2" s="1"/>
      <x:c r="T2" s="1"/>
      <x:c r="U2" s="1"/>
      <x:c r="V2" s="1"/>
      <x:c r="W2" s="1"/>
      <x:c r="X2" s="1"/>
      <x:c r="Y2" s="1"/>
      <x:c r="Z2" s="1"/>
    </x:row>
    <x:row r="3">
      <x:c r="A3" s="3"/>
      <x:c r="B3" s="3"/>
      <x:c r="C3" s="3"/>
      <x:c r="D3" s="3"/>
      <x:c r="E3" s="3"/>
      <x:c r="F3" s="3"/>
      <x:c r="G3" s="3"/>
      <x:c r="H3" s="3"/>
      <x:c r="I3" s="3"/>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ht="38" customHeight="1">
      <x:c r="A5" s="107" t="str">
        <x:v>Competency_ID</x:v>
      </x:c>
      <x:c r="B5" s="107" t="str">
        <x:v>Competency</x:v>
      </x:c>
      <x:c r="C5" s="107" t="str">
        <x:v>Demonstrated_Capability</x:v>
      </x:c>
      <x:c r="D5" s="107" t="str">
        <x:v>Primary_Evidence_Path</x:v>
      </x:c>
      <x:c r="E5" s="107" t="str">
        <x:v>Secondary_Evidence_Path</x:v>
      </x:c>
      <x:c r="F5" s="107" t="str">
        <x:v>Evidence_Type</x:v>
      </x:c>
      <x:c r="G5" s="107" t="str">
        <x:v>Strength</x:v>
      </x:c>
      <x:c r="H5" s="107" t="str">
        <x:v>Material_Limitation</x:v>
      </x:c>
      <x:c r="I5" s="107" t="str">
        <x:v>Interview_Case</x:v>
      </x:c>
      <x:c r="J5" s="1"/>
      <x:c r="K5" s="1"/>
      <x:c r="L5" s="1"/>
      <x:c r="M5" s="1"/>
      <x:c r="N5" s="1"/>
      <x:c r="O5" s="1"/>
      <x:c r="P5" s="1"/>
      <x:c r="Q5" s="1"/>
      <x:c r="R5" s="1"/>
      <x:c r="S5" s="1"/>
      <x:c r="T5" s="1"/>
      <x:c r="U5" s="1"/>
      <x:c r="V5" s="1"/>
      <x:c r="W5" s="1"/>
      <x:c r="X5" s="1"/>
      <x:c r="Y5" s="1"/>
      <x:c r="Z5" s="1"/>
    </x:row>
    <x:row r="6" ht="58" customHeight="1">
      <x:c r="A6" s="108" t="str">
        <x:v>CMP-01</x:v>
      </x:c>
      <x:c r="B6" s="108" t="str">
        <x:v>AI governance operating model</x:v>
      </x:c>
      <x:c r="C6" s="108" t="str">
        <x:v>Defines decision rights, ownership, escalation and three-lines separation</x:v>
      </x:c>
      <x:c r="D6" s="108" t="str">
        <x:v>06-governance-operating-model/</x:v>
      </x:c>
      <x:c r="E6" s="108" t="str">
        <x:v>01-project-charter-and-context/</x:v>
      </x:c>
      <x:c r="F6" s="108" t="str">
        <x:v>Design and traceability</x:v>
      </x:c>
      <x:c r="G6" s="108" t="str">
        <x:v>Strong</x:v>
      </x:c>
      <x:c r="H6" s="108" t="str">
        <x:v>Fictional roles and approvals; no real delegated authority</x:v>
      </x:c>
      <x:c r="I6" s="108" t="str">
        <x:v>Case 5</x:v>
      </x:c>
      <x:c r="J6" s="1"/>
      <x:c r="K6" s="1"/>
      <x:c r="L6" s="1"/>
      <x:c r="M6" s="1"/>
      <x:c r="N6" s="1"/>
      <x:c r="O6" s="1"/>
      <x:c r="P6" s="1"/>
      <x:c r="Q6" s="1"/>
      <x:c r="R6" s="1"/>
      <x:c r="S6" s="1"/>
      <x:c r="T6" s="1"/>
      <x:c r="U6" s="1"/>
      <x:c r="V6" s="1"/>
      <x:c r="W6" s="1"/>
      <x:c r="X6" s="1"/>
      <x:c r="Y6" s="1"/>
      <x:c r="Z6" s="1"/>
    </x:row>
    <x:row r="7" ht="58" customHeight="1">
      <x:c r="A7" s="108" t="str">
        <x:v>CMP-02</x:v>
      </x:c>
      <x:c r="B7" s="108" t="str">
        <x:v>AI inventory and intake</x:v>
      </x:c>
      <x:c r="C7" s="108" t="str">
        <x:v>Maintains system identity, ownership, lifecycle, data and governance status</x:v>
      </x:c>
      <x:c r="D7" s="108" t="str">
        <x:v>03-ai-inventory-and-intake/</x:v>
      </x:c>
      <x:c r="E7" s="108" t="str">
        <x:v>01-project-charter-and-context/</x:v>
      </x:c>
      <x:c r="F7" s="108" t="str">
        <x:v>Structured governance record</x:v>
      </x:c>
      <x:c r="G7" s="108" t="str">
        <x:v>Strong</x:v>
      </x:c>
      <x:c r="H7" s="108" t="str">
        <x:v>Synthetic inventory; completeness against a real enterprise is untested</x:v>
      </x:c>
      <x:c r="I7" s="108" t="str">
        <x:v>Case 6</x:v>
      </x:c>
      <x:c r="J7" s="1"/>
      <x:c r="K7" s="1"/>
      <x:c r="L7" s="1"/>
      <x:c r="M7" s="1"/>
      <x:c r="N7" s="1"/>
      <x:c r="O7" s="1"/>
      <x:c r="P7" s="1"/>
      <x:c r="Q7" s="1"/>
      <x:c r="R7" s="1"/>
      <x:c r="S7" s="1"/>
      <x:c r="T7" s="1"/>
      <x:c r="U7" s="1"/>
      <x:c r="V7" s="1"/>
      <x:c r="W7" s="1"/>
      <x:c r="X7" s="1"/>
      <x:c r="Y7" s="1"/>
      <x:c r="Z7" s="1"/>
    </x:row>
    <x:row r="8" ht="58" customHeight="1">
      <x:c r="A8" s="108" t="str">
        <x:v>CMP-03</x:v>
      </x:c>
      <x:c r="B8" s="108" t="str">
        <x:v>AI risk assessment</x:v>
      </x:c>
      <x:c r="C8" s="108" t="str">
        <x:v>Uses scenario-based inherent and residual risk with explicit assumptions</x:v>
      </x:c>
      <x:c r="D8" s="108" t="str">
        <x:v>04-risk-assessment/</x:v>
      </x:c>
      <x:c r="E8" s="108" t="str">
        <x:v>11-assurance-testing-and-evaluation/03-iso42001/</x:v>
      </x:c>
      <x:c r="F8" s="108" t="str">
        <x:v>Method and worked records</x:v>
      </x:c>
      <x:c r="G8" s="108" t="str">
        <x:v>Strong</x:v>
      </x:c>
      <x:c r="H8" s="108" t="str">
        <x:v>Scores are case-study judgments rather than validated enterprise ratings</x:v>
      </x:c>
      <x:c r="I8" s="108" t="str">
        <x:v>Case 6</x:v>
      </x:c>
      <x:c r="J8" s="1"/>
      <x:c r="K8" s="1"/>
      <x:c r="L8" s="1"/>
      <x:c r="M8" s="1"/>
      <x:c r="N8" s="1"/>
      <x:c r="O8" s="1"/>
      <x:c r="P8" s="1"/>
      <x:c r="Q8" s="1"/>
      <x:c r="R8" s="1"/>
      <x:c r="S8" s="1"/>
      <x:c r="T8" s="1"/>
      <x:c r="U8" s="1"/>
      <x:c r="V8" s="1"/>
      <x:c r="W8" s="1"/>
      <x:c r="X8" s="1"/>
      <x:c r="Y8" s="1"/>
      <x:c r="Z8" s="1"/>
    </x:row>
    <x:row r="9" ht="58" customHeight="1">
      <x:c r="A9" s="108" t="str">
        <x:v>CMP-04</x:v>
      </x:c>
      <x:c r="B9" s="108" t="str">
        <x:v>Impact rights and privacy</x:v>
      </x:c>
      <x:c r="C9" s="108" t="str">
        <x:v>Connects AIA, DPIA, FRIA and HUDERIA considerations for consequential AI</x:v>
      </x:c>
      <x:c r="D9" s="108" t="str">
        <x:v>05-impact-and-rights-assessments/</x:v>
      </x:c>
      <x:c r="E9" s="108" t="str">
        <x:v>10-system-model-and-technical-documentation/01-model-documentation/</x:v>
      </x:c>
      <x:c r="F9" s="108" t="str">
        <x:v>Assessment pack</x:v>
      </x:c>
      <x:c r="G9" s="108" t="str">
        <x:v>Moderate</x:v>
      </x:c>
      <x:c r="H9" s="108" t="str">
        <x:v>No legal opinion, affected-person consultation or real personal data</x:v>
      </x:c>
      <x:c r="I9" s="108" t="str">
        <x:v>Case 3</x:v>
      </x:c>
      <x:c r="J9" s="1"/>
      <x:c r="K9" s="1"/>
      <x:c r="L9" s="1"/>
      <x:c r="M9" s="1"/>
      <x:c r="N9" s="1"/>
      <x:c r="O9" s="1"/>
      <x:c r="P9" s="1"/>
      <x:c r="Q9" s="1"/>
      <x:c r="R9" s="1"/>
      <x:c r="S9" s="1"/>
      <x:c r="T9" s="1"/>
      <x:c r="U9" s="1"/>
      <x:c r="V9" s="1"/>
      <x:c r="W9" s="1"/>
      <x:c r="X9" s="1"/>
      <x:c r="Y9" s="1"/>
      <x:c r="Z9" s="1"/>
    </x:row>
    <x:row r="10" ht="58" customHeight="1">
      <x:c r="A10" s="108" t="str">
        <x:v>CMP-05</x:v>
      </x:c>
      <x:c r="B10" s="108" t="str">
        <x:v>Control design and applicability</x:v>
      </x:c>
      <x:c r="C10" s="108" t="str">
        <x:v>Defines 45 canonical controls and evaluates scoped applicability without awarding implementation credit</x:v>
      </x:c>
      <x:c r="D10" s="108" t="str">
        <x:v>07-control-framework/</x:v>
      </x:c>
      <x:c r="E10" s="108" t="str">
        <x:v>11-assurance-testing-and-evaluation/03-iso42001/</x:v>
      </x:c>
      <x:c r="F10" s="108" t="str">
        <x:v>Control library and executable gate</x:v>
      </x:c>
      <x:c r="G10" s="108" t="str">
        <x:v>Strong</x:v>
      </x:c>
      <x:c r="H10" s="108" t="str">
        <x:v>Applicability does not prove implementation or effectiveness</x:v>
      </x:c>
      <x:c r="I10" s="108" t="str">
        <x:v>Case 6</x:v>
      </x:c>
      <x:c r="J10" s="1"/>
      <x:c r="K10" s="1"/>
      <x:c r="L10" s="1"/>
      <x:c r="M10" s="1"/>
      <x:c r="N10" s="1"/>
      <x:c r="O10" s="1"/>
      <x:c r="P10" s="1"/>
      <x:c r="Q10" s="1"/>
      <x:c r="R10" s="1"/>
      <x:c r="S10" s="1"/>
      <x:c r="T10" s="1"/>
      <x:c r="U10" s="1"/>
      <x:c r="V10" s="1"/>
      <x:c r="W10" s="1"/>
      <x:c r="X10" s="1"/>
      <x:c r="Y10" s="1"/>
      <x:c r="Z10" s="1"/>
    </x:row>
    <x:row r="11" ht="58" customHeight="1">
      <x:c r="A11" s="108" t="str">
        <x:v>CMP-06</x:v>
      </x:c>
      <x:c r="B11" s="108" t="str">
        <x:v>Human oversight</x:v>
      </x:c>
      <x:c r="C11" s="108" t="str">
        <x:v>Designs a mandatory human release gate with decision and override evidence</x:v>
      </x:c>
      <x:c r="D11" s="108" t="str">
        <x:v>80-operating-evidence/AI-004-winginspect/</x:v>
      </x:c>
      <x:c r="E11" s="108" t="str">
        <x:v>07-control-framework/</x:v>
      </x:c>
      <x:c r="F11" s="108" t="str">
        <x:v>Synthetic execution and test</x:v>
      </x:c>
      <x:c r="G11" s="108" t="str">
        <x:v>Strong</x:v>
      </x:c>
      <x:c r="H11" s="108" t="str">
        <x:v>No production inspection history or validated safety effect</x:v>
      </x:c>
      <x:c r="I11" s="108" t="str">
        <x:v>Case 1</x:v>
      </x:c>
      <x:c r="J11" s="1"/>
      <x:c r="K11" s="1"/>
      <x:c r="L11" s="1"/>
      <x:c r="M11" s="1"/>
      <x:c r="N11" s="1"/>
      <x:c r="O11" s="1"/>
      <x:c r="P11" s="1"/>
      <x:c r="Q11" s="1"/>
      <x:c r="R11" s="1"/>
      <x:c r="S11" s="1"/>
      <x:c r="T11" s="1"/>
      <x:c r="U11" s="1"/>
      <x:c r="V11" s="1"/>
      <x:c r="W11" s="1"/>
      <x:c r="X11" s="1"/>
      <x:c r="Y11" s="1"/>
      <x:c r="Z11" s="1"/>
    </x:row>
    <x:row r="12" ht="58" customHeight="1">
      <x:c r="A12" s="108" t="str">
        <x:v>CMP-07</x:v>
      </x:c>
      <x:c r="B12" s="108" t="str">
        <x:v>AI security validation</x:v>
      </x:c>
      <x:c r="C12" s="108" t="str">
        <x:v>Implements negative authorization testing, seeded-defect detection and reproducible retesting</x:v>
      </x:c>
      <x:c r="D12" s="108" t="str">
        <x:v>80-operating-evidence/AI-006-pondgpt/</x:v>
      </x:c>
      <x:c r="E12" s="108" t="str">
        <x:v>10-system-model-and-technical-documentation/02-architecture-and-data-flows/</x:v>
      </x:c>
      <x:c r="F12" s="108" t="str">
        <x:v>Executable control evidence</x:v>
      </x:c>
      <x:c r="G12" s="108" t="str">
        <x:v>Strong</x:v>
      </x:c>
      <x:c r="H12" s="108" t="str">
        <x:v>No live connector, DLP or SIEM validation</x:v>
      </x:c>
      <x:c r="I12" s="108" t="str">
        <x:v>Case 2</x:v>
      </x:c>
      <x:c r="J12" s="1"/>
      <x:c r="K12" s="1"/>
      <x:c r="L12" s="1"/>
      <x:c r="M12" s="1"/>
      <x:c r="N12" s="1"/>
      <x:c r="O12" s="1"/>
      <x:c r="P12" s="1"/>
      <x:c r="Q12" s="1"/>
      <x:c r="R12" s="1"/>
      <x:c r="S12" s="1"/>
      <x:c r="T12" s="1"/>
      <x:c r="U12" s="1"/>
      <x:c r="V12" s="1"/>
      <x:c r="W12" s="1"/>
      <x:c r="X12" s="1"/>
      <x:c r="Y12" s="1"/>
      <x:c r="Z12" s="1"/>
    </x:row>
    <x:row r="13" ht="58" customHeight="1">
      <x:c r="A13" s="108" t="str">
        <x:v>CMP-08</x:v>
      </x:c>
      <x:c r="B13" s="108" t="str">
        <x:v>Fairness and feature governance</x:v>
      </x:c>
      <x:c r="C13" s="108" t="str">
        <x:v>Tests matched synthetic applicants, detects an unapproved feature and blocks progression</x:v>
      </x:c>
      <x:c r="D13" s="108" t="str">
        <x:v>80-operating-evidence/AI-005-ducktalent/</x:v>
      </x:c>
      <x:c r="E13" s="108" t="str">
        <x:v>05-impact-and-rights-assessments/</x:v>
      </x:c>
      <x:c r="F13" s="108" t="str">
        <x:v>Executable control evidence</x:v>
      </x:c>
      <x:c r="G13" s="108" t="str">
        <x:v>Strong</x:v>
      </x:c>
      <x:c r="H13" s="108" t="str">
        <x:v>No real applicants, production validation or legal discrimination conclusion</x:v>
      </x:c>
      <x:c r="I13" s="108" t="str">
        <x:v>Case 3</x:v>
      </x:c>
      <x:c r="J13" s="1"/>
      <x:c r="K13" s="1"/>
      <x:c r="L13" s="1"/>
      <x:c r="M13" s="1"/>
      <x:c r="N13" s="1"/>
      <x:c r="O13" s="1"/>
      <x:c r="P13" s="1"/>
      <x:c r="Q13" s="1"/>
      <x:c r="R13" s="1"/>
      <x:c r="S13" s="1"/>
      <x:c r="T13" s="1"/>
      <x:c r="U13" s="1"/>
      <x:c r="V13" s="1"/>
      <x:c r="W13" s="1"/>
      <x:c r="X13" s="1"/>
      <x:c r="Y13" s="1"/>
      <x:c r="Z13" s="1"/>
    </x:row>
    <x:row r="14" ht="58" customHeight="1">
      <x:c r="A14" s="108" t="str">
        <x:v>CMP-09</x:v>
      </x:c>
      <x:c r="B14" s="108" t="str">
        <x:v>Third-party AI risk</x:v>
      </x:c>
      <x:c r="C14" s="108" t="str">
        <x:v>Structures supplier evidence, risk, contract conditions, monitoring, change and exit</x:v>
      </x:c>
      <x:c r="D14" s="108" t="str">
        <x:v>09-third-party-ai-governance/02-worked-supplier-case/AI-006-pondgpt/</x:v>
      </x:c>
      <x:c r="E14" s="108" t="str">
        <x:v>09-third-party-ai-governance/01-templates/</x:v>
      </x:c>
      <x:c r="F14" s="108" t="str">
        <x:v>Worked supplier case</x:v>
      </x:c>
      <x:c r="G14" s="108" t="str">
        <x:v>Strong</x:v>
      </x:c>
      <x:c r="H14" s="108" t="str">
        <x:v>Fictional supplier and evidence; no real due diligence</x:v>
      </x:c>
      <x:c r="I14" s="108" t="str">
        <x:v>Case 4</x:v>
      </x:c>
      <x:c r="J14" s="1"/>
      <x:c r="K14" s="1"/>
      <x:c r="L14" s="1"/>
      <x:c r="M14" s="1"/>
      <x:c r="N14" s="1"/>
      <x:c r="O14" s="1"/>
      <x:c r="P14" s="1"/>
      <x:c r="Q14" s="1"/>
      <x:c r="R14" s="1"/>
      <x:c r="S14" s="1"/>
      <x:c r="T14" s="1"/>
      <x:c r="U14" s="1"/>
      <x:c r="V14" s="1"/>
      <x:c r="W14" s="1"/>
      <x:c r="X14" s="1"/>
      <x:c r="Y14" s="1"/>
      <x:c r="Z14" s="1"/>
    </x:row>
    <x:row r="15" ht="58" customHeight="1">
      <x:c r="A15" s="108" t="str">
        <x:v>CMP-10</x:v>
      </x:c>
      <x:c r="B15" s="108" t="str">
        <x:v>Monitoring and material change</x:v>
      </x:c>
      <x:c r="C15" s="108" t="str">
        <x:v>Detects a prohibited configuration recurrence and triggers reassessment</x:v>
      </x:c>
      <x:c r="D15" s="108" t="str">
        <x:v>12-monitoring-reporting-and-roadmap/AI-005-ducktalent/</x:v>
      </x:c>
      <x:c r="E15" s="108" t="str">
        <x:v>08-policies-standards-and-operations/03-change-management/</x:v>
      </x:c>
      <x:c r="F15" s="108" t="str">
        <x:v>Executable event and decision chain</x:v>
      </x:c>
      <x:c r="G15" s="108" t="str">
        <x:v>Strong</x:v>
      </x:c>
      <x:c r="H15" s="108" t="str">
        <x:v>Single synthetic event rather than sustained monitoring history</x:v>
      </x:c>
      <x:c r="I15" s="108" t="str">
        <x:v>Case 3</x:v>
      </x:c>
      <x:c r="J15" s="1"/>
      <x:c r="K15" s="1"/>
      <x:c r="L15" s="1"/>
      <x:c r="M15" s="1"/>
      <x:c r="N15" s="1"/>
      <x:c r="O15" s="1"/>
      <x:c r="P15" s="1"/>
      <x:c r="Q15" s="1"/>
      <x:c r="R15" s="1"/>
      <x:c r="S15" s="1"/>
      <x:c r="T15" s="1"/>
      <x:c r="U15" s="1"/>
      <x:c r="V15" s="1"/>
      <x:c r="W15" s="1"/>
      <x:c r="X15" s="1"/>
      <x:c r="Y15" s="1"/>
      <x:c r="Z15" s="1"/>
    </x:row>
    <x:row r="16" ht="58" customHeight="1">
      <x:c r="A16" s="108" t="str">
        <x:v>CMP-11</x:v>
      </x:c>
      <x:c r="B16" s="108" t="str">
        <x:v>Corrective action and assurance</x:v>
      </x:c>
      <x:c r="C16" s="108" t="str">
        <x:v>Links finding, root cause, CAPA, retest, management review and narrow closure</x:v>
      </x:c>
      <x:c r="D16" s="108" t="str">
        <x:v>11-assurance-testing-and-evaluation/04-internal-audit-and-corrective-action/AI-005-ducktalent/</x:v>
      </x:c>
      <x:c r="E16" s="108" t="str">
        <x:v>11-assurance-testing-and-evaluation/05-aims-internal-audit-programme/</x:v>
      </x:c>
      <x:c r="F16" s="108" t="str">
        <x:v>Assurance workpapers and test</x:v>
      </x:c>
      <x:c r="G16" s="108" t="str">
        <x:v>Strong</x:v>
      </x:c>
      <x:c r="H16" s="108" t="str">
        <x:v>No real independent audit or enterprise remediation</x:v>
      </x:c>
      <x:c r="I16" s="108" t="str">
        <x:v>Case 5</x:v>
      </x:c>
      <x:c r="J16" s="1"/>
      <x:c r="K16" s="1"/>
      <x:c r="L16" s="1"/>
      <x:c r="M16" s="1"/>
      <x:c r="N16" s="1"/>
      <x:c r="O16" s="1"/>
      <x:c r="P16" s="1"/>
      <x:c r="Q16" s="1"/>
      <x:c r="R16" s="1"/>
      <x:c r="S16" s="1"/>
      <x:c r="T16" s="1"/>
      <x:c r="U16" s="1"/>
      <x:c r="V16" s="1"/>
      <x:c r="W16" s="1"/>
      <x:c r="X16" s="1"/>
      <x:c r="Y16" s="1"/>
      <x:c r="Z16" s="1"/>
    </x:row>
    <x:row r="17" ht="58" customHeight="1">
      <x:c r="A17" s="108" t="str">
        <x:v>CMP-12</x:v>
      </x:c>
      <x:c r="B17" s="108" t="str">
        <x:v>Management review and objectives</x:v>
      </x:c>
      <x:c r="C17" s="108" t="str">
        <x:v>Connects measurable objectives, risk and opportunity, actions, dependencies and escalation</x:v>
      </x:c>
      <x:c r="D17" s="108" t="str">
        <x:v>12-monitoring-reporting-and-roadmap/01-aims-management-review-cycle/</x:v>
      </x:c>
      <x:c r="E17" s="108" t="str">
        <x:v>06-governance-operating-model/01-aims-objectives-and-support/</x:v>
      </x:c>
      <x:c r="F17" s="108" t="str">
        <x:v>Management-system records and gate</x:v>
      </x:c>
      <x:c r="G17" s="108" t="str">
        <x:v>Strong</x:v>
      </x:c>
      <x:c r="H17" s="108" t="str">
        <x:v>One bounded synthetic review cycle; no recurring leadership operation</x:v>
      </x:c>
      <x:c r="I17" s="108" t="str">
        <x:v>Case 6</x:v>
      </x:c>
      <x:c r="J17" s="1"/>
      <x:c r="K17" s="1"/>
      <x:c r="L17" s="1"/>
      <x:c r="M17" s="1"/>
      <x:c r="N17" s="1"/>
      <x:c r="O17" s="1"/>
      <x:c r="P17" s="1"/>
      <x:c r="Q17" s="1"/>
      <x:c r="R17" s="1"/>
      <x:c r="S17" s="1"/>
      <x:c r="T17" s="1"/>
      <x:c r="U17" s="1"/>
      <x:c r="V17" s="1"/>
      <x:c r="W17" s="1"/>
      <x:c r="X17" s="1"/>
      <x:c r="Y17" s="1"/>
      <x:c r="Z17" s="1"/>
    </x:row>
    <x:row r="18" ht="58" customHeight="1">
      <x:c r="A18" s="108" t="str">
        <x:v>CMP-13</x:v>
      </x:c>
      <x:c r="B18" s="108" t="str">
        <x:v>Executive decision support</x:v>
      </x:c>
      <x:c r="C18" s="108" t="str">
        <x:v>Summarizes portfolio gates, evidence maturity, blockers and required decisions</x:v>
      </x:c>
      <x:c r="D18" s="108" t="str">
        <x:v>12-monitoring-reporting-and-roadmap/Duckworks_Executive_AI_Governance_Decision_Brief_v1.0.md</x:v>
      </x:c>
      <x:c r="E18" s="108" t="str">
        <x:v>00-executive-case-study/</x:v>
      </x:c>
      <x:c r="F18" s="108" t="str">
        <x:v>Management brief</x:v>
      </x:c>
      <x:c r="G18" s="108" t="str">
        <x:v>Strong</x:v>
      </x:c>
      <x:c r="H18" s="108" t="str">
        <x:v>Synthetic management reporting without real executive approval</x:v>
      </x:c>
      <x:c r="I18" s="108" t="str">
        <x:v>Case 1</x:v>
      </x:c>
      <x:c r="J18" s="1"/>
      <x:c r="K18" s="1"/>
      <x:c r="L18" s="1"/>
      <x:c r="M18" s="1"/>
      <x:c r="N18" s="1"/>
      <x:c r="O18" s="1"/>
      <x:c r="P18" s="1"/>
      <x:c r="Q18" s="1"/>
      <x:c r="R18" s="1"/>
      <x:c r="S18" s="1"/>
      <x:c r="T18" s="1"/>
      <x:c r="U18" s="1"/>
      <x:c r="V18" s="1"/>
      <x:c r="W18" s="1"/>
      <x:c r="X18" s="1"/>
      <x:c r="Y18" s="1"/>
      <x:c r="Z18" s="1"/>
    </x:row>
    <x:row r="19" ht="58" customHeight="1">
      <x:c r="A19" s="66" t="str">
        <x:v>CMP-14</x:v>
      </x:c>
      <x:c r="B19" s="66" t="str">
        <x:v>Governance as code</x:v>
      </x:c>
      <x:c r="C19" s="66" t="str">
        <x:v>Runs nine control and management-system gates plus semantic assertions in CI</x:v>
      </x:c>
      <x:c r="D19" s="66" t="str">
        <x:v>.github/workflows/evidence-tests.yml</x:v>
      </x:c>
      <x:c r="E19" s="66" t="str">
        <x:v>13-portfolio-navigation-and-hiring-evidence/portfolio_integrity_gate.py</x:v>
      </x:c>
      <x:c r="F19" s="66" t="str">
        <x:v>Executable workflow</x:v>
      </x:c>
      <x:c r="G19" s="66" t="str">
        <x:v>Strong</x:v>
      </x:c>
      <x:c r="H19" s="66" t="str">
        <x:v>Repository automation is not a production enforcement platform</x:v>
      </x:c>
      <x:c r="I19" s="66" t="str">
        <x:v>Case 2</x:v>
      </x:c>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2:I2"/>
  </x:mergeCells>
  <x:conditionalFormatting sqref="G6:G19">
    <x:cfRule type="containsText" dxfId="0" priority="1" operator="containsText" text="Strong"/>
    <x:cfRule type="containsText" dxfId="1" priority="2" operator="containsText" text="Moderate"/>
  </x:conditionalFormatting>
  <x:pageMargins left="0.7" right="0.7" top="0.75" bottom="0.75" header="0.3" footer="0.3"/>
  <x:tableParts count="1">
    <x:tablePart xmlns:r="http://schemas.openxmlformats.org/officeDocument/2006/relationships" r:id="R2233d33d9b504ddc"/>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22" hidden="0" customWidth="1"/>
    <x:col min="3" max="3" width="48" hidden="0" customWidth="1"/>
    <x:col min="4" max="4" width="48" hidden="0" customWidth="1"/>
    <x:col min="5" max="5" width="50" hidden="0" customWidth="1"/>
    <x:col min="6" max="6" width="48" hidden="0" customWidth="1"/>
    <x:col min="7" max="7" width="22"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103" t="str">
        <x:v>Portfolio Claim-Boundary Register</x:v>
      </x:c>
      <x:c r="B2" s="1"/>
      <x:c r="C2" s="1"/>
      <x:c r="D2" s="1"/>
      <x:c r="E2" s="1"/>
      <x:c r="F2" s="1"/>
      <x:c r="G2" s="1"/>
      <x:c r="H2" s="1"/>
      <x:c r="I2" s="1"/>
      <x:c r="J2" s="1"/>
      <x:c r="K2" s="1"/>
      <x:c r="L2" s="1"/>
      <x:c r="M2" s="1"/>
      <x:c r="N2" s="1"/>
      <x:c r="O2" s="1"/>
      <x:c r="P2" s="1"/>
      <x:c r="Q2" s="1"/>
      <x:c r="R2" s="1"/>
      <x:c r="S2" s="1"/>
      <x:c r="T2" s="1"/>
      <x:c r="U2" s="1"/>
      <x:c r="V2" s="1"/>
      <x:c r="W2" s="1"/>
      <x:c r="X2" s="1"/>
      <x:c r="Y2" s="1"/>
      <x:c r="Z2" s="1"/>
    </x:row>
    <x:row r="3">
      <x:c r="A3" s="3"/>
      <x:c r="B3" s="3"/>
      <x:c r="C3" s="3"/>
      <x:c r="D3" s="3"/>
      <x:c r="E3" s="3"/>
      <x:c r="F3" s="3"/>
      <x:c r="G3" s="3"/>
      <x:c r="H3" s="1"/>
      <x:c r="I3" s="1"/>
      <x:c r="J3" s="1"/>
      <x:c r="K3" s="1"/>
      <x:c r="L3" s="1"/>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ht="38" customHeight="1">
      <x:c r="A5" s="107" t="str">
        <x:v>Claim_ID</x:v>
      </x:c>
      <x:c r="B5" s="107" t="str">
        <x:v>Topic</x:v>
      </x:c>
      <x:c r="C5" s="107" t="str">
        <x:v>Supported_Wording</x:v>
      </x:c>
      <x:c r="D5" s="107" t="str">
        <x:v>Avoid_Wording</x:v>
      </x:c>
      <x:c r="E5" s="107" t="str">
        <x:v>Evidence_Path</x:v>
      </x:c>
      <x:c r="F5" s="107" t="str">
        <x:v>Boundary</x:v>
      </x:c>
      <x:c r="G5" s="107" t="str">
        <x:v>Status</x:v>
      </x:c>
      <x:c r="H5" s="1"/>
      <x:c r="I5" s="1"/>
      <x:c r="J5" s="1"/>
      <x:c r="K5" s="1"/>
      <x:c r="L5" s="1"/>
      <x:c r="M5" s="1"/>
      <x:c r="N5" s="1"/>
      <x:c r="O5" s="1"/>
      <x:c r="P5" s="1"/>
      <x:c r="Q5" s="1"/>
      <x:c r="R5" s="1"/>
      <x:c r="S5" s="1"/>
      <x:c r="T5" s="1"/>
      <x:c r="U5" s="1"/>
      <x:c r="V5" s="1"/>
      <x:c r="W5" s="1"/>
      <x:c r="X5" s="1"/>
      <x:c r="Y5" s="1"/>
      <x:c r="Z5" s="1"/>
    </x:row>
    <x:row r="6" ht="58" customHeight="1">
      <x:c r="A6" s="108" t="str">
        <x:v>CLM-01</x:v>
      </x:c>
      <x:c r="B6" s="108" t="str">
        <x:v>Portfolio scope</x:v>
      </x:c>
      <x:c r="C6" s="108" t="str">
        <x:v>Designed an end-to-end fictional AI governance portfolio covering inventory, risk, controls, evidence, monitoring and assurance</x:v>
      </x:c>
      <x:c r="D6" s="108" t="str">
        <x:v>Implemented an enterprise AI governance programme at Duckworks</x:v>
      </x:c>
      <x:c r="E6" s="108" t="str">
        <x:v>README.md</x:v>
      </x:c>
      <x:c r="F6" s="108" t="str">
        <x:v>Duckworks and its governance records are fictional</x:v>
      </x:c>
      <x:c r="G6" s="108" t="str">
        <x:v>Allowed with boundary</x:v>
      </x:c>
      <x:c r="H6" s="1"/>
      <x:c r="I6" s="1"/>
      <x:c r="J6" s="1"/>
      <x:c r="K6" s="1"/>
      <x:c r="L6" s="1"/>
      <x:c r="M6" s="1"/>
      <x:c r="N6" s="1"/>
      <x:c r="O6" s="1"/>
      <x:c r="P6" s="1"/>
      <x:c r="Q6" s="1"/>
      <x:c r="R6" s="1"/>
      <x:c r="S6" s="1"/>
      <x:c r="T6" s="1"/>
      <x:c r="U6" s="1"/>
      <x:c r="V6" s="1"/>
      <x:c r="W6" s="1"/>
      <x:c r="X6" s="1"/>
      <x:c r="Y6" s="1"/>
      <x:c r="Z6" s="1"/>
    </x:row>
    <x:row r="7" ht="58" customHeight="1">
      <x:c r="A7" s="108" t="str">
        <x:v>CLM-02</x:v>
      </x:c>
      <x:c r="B7" s="108" t="str">
        <x:v>Operating controls</x:v>
      </x:c>
      <x:c r="C7" s="108" t="str">
        <x:v>Demonstrated three synthetic operating-evidence archetypes with tests and decision records</x:v>
      </x:c>
      <x:c r="D7" s="108" t="str">
        <x:v>Proved controls operate effectively in production</x:v>
      </x:c>
      <x:c r="E7" s="108" t="str">
        <x:v>80-operating-evidence/</x:v>
      </x:c>
      <x:c r="F7" s="108" t="str">
        <x:v>Synthetic execution is not production operating effectiveness</x:v>
      </x:c>
      <x:c r="G7" s="108" t="str">
        <x:v>Allowed with boundary</x:v>
      </x:c>
      <x:c r="H7" s="1"/>
      <x:c r="I7" s="1"/>
      <x:c r="J7" s="1"/>
      <x:c r="K7" s="1"/>
      <x:c r="L7" s="1"/>
      <x:c r="M7" s="1"/>
      <x:c r="N7" s="1"/>
      <x:c r="O7" s="1"/>
      <x:c r="P7" s="1"/>
      <x:c r="Q7" s="1"/>
      <x:c r="R7" s="1"/>
      <x:c r="S7" s="1"/>
      <x:c r="T7" s="1"/>
      <x:c r="U7" s="1"/>
      <x:c r="V7" s="1"/>
      <x:c r="W7" s="1"/>
      <x:c r="X7" s="1"/>
      <x:c r="Y7" s="1"/>
      <x:c r="Z7" s="1"/>
    </x:row>
    <x:row r="8" ht="58" customHeight="1">
      <x:c r="A8" s="108" t="str">
        <x:v>CLM-03</x:v>
      </x:c>
      <x:c r="B8" s="108" t="str">
        <x:v>Governance as code</x:v>
      </x:c>
      <x:c r="C8" s="108" t="str">
        <x:v>Built reproducible repository gates that test defined control and management-system conditions</x:v>
      </x:c>
      <x:c r="D8" s="108" t="str">
        <x:v>Deployed autonomous enterprise GRC enforcement</x:v>
      </x:c>
      <x:c r="E8" s="108" t="str">
        <x:v>.github/workflows/evidence-tests.yml</x:v>
      </x:c>
      <x:c r="F8" s="108" t="str">
        <x:v>CI checks repository evidence and synthetic scenarios only</x:v>
      </x:c>
      <x:c r="G8" s="108" t="str">
        <x:v>Allowed with boundary</x:v>
      </x:c>
      <x:c r="H8" s="1"/>
      <x:c r="I8" s="1"/>
      <x:c r="J8" s="1"/>
      <x:c r="K8" s="1"/>
      <x:c r="L8" s="1"/>
      <x:c r="M8" s="1"/>
      <x:c r="N8" s="1"/>
      <x:c r="O8" s="1"/>
      <x:c r="P8" s="1"/>
      <x:c r="Q8" s="1"/>
      <x:c r="R8" s="1"/>
      <x:c r="S8" s="1"/>
      <x:c r="T8" s="1"/>
      <x:c r="U8" s="1"/>
      <x:c r="V8" s="1"/>
      <x:c r="W8" s="1"/>
      <x:c r="X8" s="1"/>
      <x:c r="Y8" s="1"/>
      <x:c r="Z8" s="1"/>
    </x:row>
    <x:row r="9" ht="58" customHeight="1">
      <x:c r="A9" s="108" t="str">
        <x:v>CLM-04</x:v>
      </x:c>
      <x:c r="B9" s="108" t="str">
        <x:v>ISO/IEC 42001</x:v>
      </x:c>
      <x:c r="C9" s="108" t="str">
        <x:v>Built a thematic readiness baseline and traceability crosswalk informed by ISO/IEC 42001</x:v>
      </x:c>
      <x:c r="D9" s="108" t="str">
        <x:v>Achieved ISO/IEC 42001 compliance or certification</x:v>
      </x:c>
      <x:c r="E9" s="108" t="str">
        <x:v>11-assurance-testing-and-evaluation/03-iso42001/</x:v>
      </x:c>
      <x:c r="F9" s="108" t="str">
        <x:v>No clause-level conformity audit or certification</x:v>
      </x:c>
      <x:c r="G9" s="108" t="str">
        <x:v>Allowed with boundary</x:v>
      </x:c>
      <x:c r="H9" s="1"/>
      <x:c r="I9" s="1"/>
      <x:c r="J9" s="1"/>
      <x:c r="K9" s="1"/>
      <x:c r="L9" s="1"/>
      <x:c r="M9" s="1"/>
      <x:c r="N9" s="1"/>
      <x:c r="O9" s="1"/>
      <x:c r="P9" s="1"/>
      <x:c r="Q9" s="1"/>
      <x:c r="R9" s="1"/>
      <x:c r="S9" s="1"/>
      <x:c r="T9" s="1"/>
      <x:c r="U9" s="1"/>
      <x:c r="V9" s="1"/>
      <x:c r="W9" s="1"/>
      <x:c r="X9" s="1"/>
      <x:c r="Y9" s="1"/>
      <x:c r="Z9" s="1"/>
    </x:row>
    <x:row r="10" ht="58" customHeight="1">
      <x:c r="A10" s="108" t="str">
        <x:v>CLM-05</x:v>
      </x:c>
      <x:c r="B10" s="108" t="str">
        <x:v>Internal audit</x:v>
      </x:c>
      <x:c r="C10" s="108" t="str">
        <x:v>Designed a risk-based 45-control audit programme and executed a bounded synthetic repository review</x:v>
      </x:c>
      <x:c r="D10" s="108" t="str">
        <x:v>Completed an independent enterprise internal audit</x:v>
      </x:c>
      <x:c r="E10" s="108" t="str">
        <x:v>11-assurance-testing-and-evaluation/05-aims-internal-audit-programme/</x:v>
      </x:c>
      <x:c r="F10" s="108" t="str">
        <x:v>Auditor assignment, independence and authorization are not verified</x:v>
      </x:c>
      <x:c r="G10" s="108" t="str">
        <x:v>Allowed with boundary</x:v>
      </x:c>
      <x:c r="H10" s="1"/>
      <x:c r="I10" s="1"/>
      <x:c r="J10" s="1"/>
      <x:c r="K10" s="1"/>
      <x:c r="L10" s="1"/>
      <x:c r="M10" s="1"/>
      <x:c r="N10" s="1"/>
      <x:c r="O10" s="1"/>
      <x:c r="P10" s="1"/>
      <x:c r="Q10" s="1"/>
      <x:c r="R10" s="1"/>
      <x:c r="S10" s="1"/>
      <x:c r="T10" s="1"/>
      <x:c r="U10" s="1"/>
      <x:c r="V10" s="1"/>
      <x:c r="W10" s="1"/>
      <x:c r="X10" s="1"/>
      <x:c r="Y10" s="1"/>
      <x:c r="Z10" s="1"/>
    </x:row>
    <x:row r="11" ht="58" customHeight="1">
      <x:c r="A11" s="108" t="str">
        <x:v>CLM-06</x:v>
      </x:c>
      <x:c r="B11" s="108" t="str">
        <x:v>Fairness</x:v>
      </x:c>
      <x:c r="C11" s="108" t="str">
        <x:v>Built a synthetic matched-pair fairness test that detected a prohibited feature and blocked progression</x:v>
      </x:c>
      <x:c r="D11" s="108" t="str">
        <x:v>Validated DuckTalent as fair or legally non-discriminatory</x:v>
      </x:c>
      <x:c r="E11" s="108" t="str">
        <x:v>80-operating-evidence/AI-005-ducktalent/</x:v>
      </x:c>
      <x:c r="F11" s="108" t="str">
        <x:v>No real applicants, protected-class analysis or legal conclusion</x:v>
      </x:c>
      <x:c r="G11" s="108" t="str">
        <x:v>Allowed with boundary</x:v>
      </x:c>
      <x:c r="H11" s="1"/>
      <x:c r="I11" s="1"/>
      <x:c r="J11" s="1"/>
      <x:c r="K11" s="1"/>
      <x:c r="L11" s="1"/>
      <x:c r="M11" s="1"/>
      <x:c r="N11" s="1"/>
      <x:c r="O11" s="1"/>
      <x:c r="P11" s="1"/>
      <x:c r="Q11" s="1"/>
      <x:c r="R11" s="1"/>
      <x:c r="S11" s="1"/>
      <x:c r="T11" s="1"/>
      <x:c r="U11" s="1"/>
      <x:c r="V11" s="1"/>
      <x:c r="W11" s="1"/>
      <x:c r="X11" s="1"/>
      <x:c r="Y11" s="1"/>
      <x:c r="Z11" s="1"/>
    </x:row>
    <x:row r="12" ht="58" customHeight="1">
      <x:c r="A12" s="108" t="str">
        <x:v>CLM-07</x:v>
      </x:c>
      <x:c r="B12" s="108" t="str">
        <x:v>AI security</x:v>
      </x:c>
      <x:c r="C12" s="108" t="str">
        <x:v>Built authorization-regression tests that detect a seeded connector permission defect</x:v>
      </x:c>
      <x:c r="D12" s="108" t="str">
        <x:v>Penetration-tested or secured a production RAG system</x:v>
      </x:c>
      <x:c r="E12" s="108" t="str">
        <x:v>80-operating-evidence/AI-006-pondgpt/</x:v>
      </x:c>
      <x:c r="F12" s="108" t="str">
        <x:v>No production connector, DLP, SIEM or red-team validation</x:v>
      </x:c>
      <x:c r="G12" s="108" t="str">
        <x:v>Allowed with boundary</x:v>
      </x:c>
      <x:c r="H12" s="1"/>
      <x:c r="I12" s="1"/>
      <x:c r="J12" s="1"/>
      <x:c r="K12" s="1"/>
      <x:c r="L12" s="1"/>
      <x:c r="M12" s="1"/>
      <x:c r="N12" s="1"/>
      <x:c r="O12" s="1"/>
      <x:c r="P12" s="1"/>
      <x:c r="Q12" s="1"/>
      <x:c r="R12" s="1"/>
      <x:c r="S12" s="1"/>
      <x:c r="T12" s="1"/>
      <x:c r="U12" s="1"/>
      <x:c r="V12" s="1"/>
      <x:c r="W12" s="1"/>
      <x:c r="X12" s="1"/>
      <x:c r="Y12" s="1"/>
      <x:c r="Z12" s="1"/>
    </x:row>
    <x:row r="13" ht="58" customHeight="1">
      <x:c r="A13" s="108" t="str">
        <x:v>CLM-08</x:v>
      </x:c>
      <x:c r="B13" s="108" t="str">
        <x:v>Human oversight</x:v>
      </x:c>
      <x:c r="C13" s="108" t="str">
        <x:v>Designed and tested the evidence model for a mandatory human release gate</x:v>
      </x:c>
      <x:c r="D13" s="108" t="str">
        <x:v>Demonstrated production human oversight effectiveness</x:v>
      </x:c>
      <x:c r="E13" s="108" t="str">
        <x:v>80-operating-evidence/AI-004-winginspect/</x:v>
      </x:c>
      <x:c r="F13" s="108" t="str">
        <x:v>No live QMS integration or production release history</x:v>
      </x:c>
      <x:c r="G13" s="108" t="str">
        <x:v>Allowed with boundary</x:v>
      </x:c>
      <x:c r="H13" s="1"/>
      <x:c r="I13" s="1"/>
      <x:c r="J13" s="1"/>
      <x:c r="K13" s="1"/>
      <x:c r="L13" s="1"/>
      <x:c r="M13" s="1"/>
      <x:c r="N13" s="1"/>
      <x:c r="O13" s="1"/>
      <x:c r="P13" s="1"/>
      <x:c r="Q13" s="1"/>
      <x:c r="R13" s="1"/>
      <x:c r="S13" s="1"/>
      <x:c r="T13" s="1"/>
      <x:c r="U13" s="1"/>
      <x:c r="V13" s="1"/>
      <x:c r="W13" s="1"/>
      <x:c r="X13" s="1"/>
      <x:c r="Y13" s="1"/>
      <x:c r="Z13" s="1"/>
    </x:row>
    <x:row r="14" ht="58" customHeight="1">
      <x:c r="A14" s="108" t="str">
        <x:v>CLM-09</x:v>
      </x:c>
      <x:c r="B14" s="108" t="str">
        <x:v>Third-party risk</x:v>
      </x:c>
      <x:c r="C14" s="108" t="str">
        <x:v>Developed a worked supplier-governance chain from intake through conditional decision and exit planning</x:v>
      </x:c>
      <x:c r="D14" s="108" t="str">
        <x:v>Completed real vendor due diligence</x:v>
      </x:c>
      <x:c r="E14" s="108" t="str">
        <x:v>09-third-party-ai-governance/02-worked-supplier-case/AI-006-pondgpt/</x:v>
      </x:c>
      <x:c r="F14" s="108" t="str">
        <x:v>Supplier, evidence and decision are fictional</x:v>
      </x:c>
      <x:c r="G14" s="108" t="str">
        <x:v>Allowed with boundary</x:v>
      </x:c>
      <x:c r="H14" s="1"/>
      <x:c r="I14" s="1"/>
      <x:c r="J14" s="1"/>
      <x:c r="K14" s="1"/>
      <x:c r="L14" s="1"/>
      <x:c r="M14" s="1"/>
      <x:c r="N14" s="1"/>
      <x:c r="O14" s="1"/>
      <x:c r="P14" s="1"/>
      <x:c r="Q14" s="1"/>
      <x:c r="R14" s="1"/>
      <x:c r="S14" s="1"/>
      <x:c r="T14" s="1"/>
      <x:c r="U14" s="1"/>
      <x:c r="V14" s="1"/>
      <x:c r="W14" s="1"/>
      <x:c r="X14" s="1"/>
      <x:c r="Y14" s="1"/>
      <x:c r="Z14" s="1"/>
    </x:row>
    <x:row r="15" ht="58" customHeight="1">
      <x:c r="A15" s="108" t="str">
        <x:v>CLM-10</x:v>
      </x:c>
      <x:c r="B15" s="108" t="str">
        <x:v>Risk decisions</x:v>
      </x:c>
      <x:c r="C15" s="108" t="str">
        <x:v>Produced traceable synthetic governance decisions that retain blocks when evidence remains insufficient</x:v>
      </x:c>
      <x:c r="D15" s="108" t="str">
        <x:v>Held real delegated risk-acceptance authority</x:v>
      </x:c>
      <x:c r="E15" s="108" t="str">
        <x:v>12-monitoring-reporting-and-roadmap/</x:v>
      </x:c>
      <x:c r="F15" s="108" t="str">
        <x:v>Decision-makers and approvals are fictional</x:v>
      </x:c>
      <x:c r="G15" s="108" t="str">
        <x:v>Allowed with boundary</x:v>
      </x:c>
      <x:c r="H15" s="1"/>
      <x:c r="I15" s="1"/>
      <x:c r="J15" s="1"/>
      <x:c r="K15" s="1"/>
      <x:c r="L15" s="1"/>
      <x:c r="M15" s="1"/>
      <x:c r="N15" s="1"/>
      <x:c r="O15" s="1"/>
      <x:c r="P15" s="1"/>
      <x:c r="Q15" s="1"/>
      <x:c r="R15" s="1"/>
      <x:c r="S15" s="1"/>
      <x:c r="T15" s="1"/>
      <x:c r="U15" s="1"/>
      <x:c r="V15" s="1"/>
      <x:c r="W15" s="1"/>
      <x:c r="X15" s="1"/>
      <x:c r="Y15" s="1"/>
      <x:c r="Z15" s="1"/>
    </x:row>
    <x:row r="16" ht="58" customHeight="1">
      <x:c r="A16" s="108" t="str">
        <x:v>CLM-11</x:v>
      </x:c>
      <x:c r="B16" s="108" t="str">
        <x:v>Corrective action</x:v>
      </x:c>
      <x:c r="C16" s="108" t="str">
        <x:v>Demonstrated narrow finding closure after reproducible recurrence-prevention testing</x:v>
      </x:c>
      <x:c r="D16" s="108" t="str">
        <x:v>Proved enterprise remediation effectiveness</x:v>
      </x:c>
      <x:c r="E16" s="108" t="str">
        <x:v>11-assurance-testing-and-evaluation/04-internal-audit-and-corrective-action/AI-005-ducktalent/</x:v>
      </x:c>
      <x:c r="F16" s="108" t="str">
        <x:v>Bounded synthetic test; unrelated risks and deployment gate remain open</x:v>
      </x:c>
      <x:c r="G16" s="108" t="str">
        <x:v>Allowed with boundary</x:v>
      </x:c>
      <x:c r="H16" s="1"/>
      <x:c r="I16" s="1"/>
      <x:c r="J16" s="1"/>
      <x:c r="K16" s="1"/>
      <x:c r="L16" s="1"/>
      <x:c r="M16" s="1"/>
      <x:c r="N16" s="1"/>
      <x:c r="O16" s="1"/>
      <x:c r="P16" s="1"/>
      <x:c r="Q16" s="1"/>
      <x:c r="R16" s="1"/>
      <x:c r="S16" s="1"/>
      <x:c r="T16" s="1"/>
      <x:c r="U16" s="1"/>
      <x:c r="V16" s="1"/>
      <x:c r="W16" s="1"/>
      <x:c r="X16" s="1"/>
      <x:c r="Y16" s="1"/>
      <x:c r="Z16" s="1"/>
    </x:row>
    <x:row r="17" ht="58" customHeight="1">
      <x:c r="A17" s="66" t="str">
        <x:v>CLM-12</x:v>
      </x:c>
      <x:c r="B17" s="66" t="str">
        <x:v>Regulatory research</x:v>
      </x:c>
      <x:c r="C17" s="66" t="str">
        <x:v>Mapped relevant official legal and framework sources with applicability conditions and uncertainties</x:v>
      </x:c>
      <x:c r="D17" s="66" t="str">
        <x:v>Provided legal advice or established EU AI Act compliance</x:v>
      </x:c>
      <x:c r="E17" s="66" t="str">
        <x:v>02-regulatory-and-framework-research/</x:v>
      </x:c>
      <x:c r="F17" s="66" t="str">
        <x:v>Portfolio research is not legal advice or conformity assessment</x:v>
      </x:c>
      <x:c r="G17" s="66" t="str">
        <x:v>Allowed with boundary</x:v>
      </x:c>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2:G2"/>
  </x:mergeCells>
  <x:conditionalFormatting sqref="G6:G17">
    <x:cfRule type="containsText" dxfId="2" priority="1" operator="containsText" text="Allowed with boundary"/>
  </x:conditionalFormatting>
  <x:conditionalFormatting sqref="D6:D17">
    <x:cfRule type="containsText" dxfId="3" priority="2" operator="containsText" text="production"/>
  </x:conditionalFormatting>
  <x:pageMargins left="0.7" right="0.7" top="0.75" bottom="0.75" header="0.3" footer="0.3"/>
  <x:tableParts count="1">
    <x:tablePart xmlns:r="http://schemas.openxmlformats.org/officeDocument/2006/relationships" r:id="R37fd209bc40341c4"/>
  </x:tableParts>
</x:worksheet>
</file>