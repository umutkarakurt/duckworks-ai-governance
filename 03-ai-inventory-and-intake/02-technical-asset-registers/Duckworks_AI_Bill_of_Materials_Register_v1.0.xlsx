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7bd915127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69591b493944aa"/>
    <x:sheet xmlns:r="http://schemas.openxmlformats.org/officeDocument/2006/relationships" name="Portfolio Summary" sheetId="2" r:id="R619a05799498488e"/>
    <x:sheet xmlns:r="http://schemas.openxmlformats.org/officeDocument/2006/relationships" name="Component Catalog" sheetId="3" r:id="R3e479a857c7241bd"/>
    <x:sheet xmlns:r="http://schemas.openxmlformats.org/officeDocument/2006/relationships" name="Dependency Map" sheetId="4" r:id="R8da6abfa4fff4680"/>
    <x:sheet xmlns:r="http://schemas.openxmlformats.org/officeDocument/2006/relationships" name="Data Assets" sheetId="5" r:id="R099aee506be348d0"/>
    <x:sheet xmlns:r="http://schemas.openxmlformats.org/officeDocument/2006/relationships" name="Vendors &amp; Services" sheetId="6" r:id="R3bc4eb74b6d648da"/>
    <x:sheet xmlns:r="http://schemas.openxmlformats.org/officeDocument/2006/relationships" name="AI-001 DuckDesign" sheetId="7" r:id="R623387a0012b4056"/>
    <x:sheet xmlns:r="http://schemas.openxmlformats.org/officeDocument/2006/relationships" name="AI-002 QuackBot" sheetId="8" r:id="R6be56d61dcfa48d8"/>
    <x:sheet xmlns:r="http://schemas.openxmlformats.org/officeDocument/2006/relationships" name="AI-003 FeatherForecast" sheetId="9" r:id="Re6aa1174e2ed425c"/>
    <x:sheet xmlns:r="http://schemas.openxmlformats.org/officeDocument/2006/relationships" name="AI-004 WingInspect" sheetId="10" r:id="R71168b7f1d314eef"/>
    <x:sheet xmlns:r="http://schemas.openxmlformats.org/officeDocument/2006/relationships" name="AI-005 DuckTalent" sheetId="11" r:id="Rc24d051af3ba42d3"/>
    <x:sheet xmlns:r="http://schemas.openxmlformats.org/officeDocument/2006/relationships" name="AI-006 PondGPT" sheetId="12" r:id="R9266e780edd642ba"/>
    <x:sheet xmlns:r="http://schemas.openxmlformats.org/officeDocument/2006/relationships" name="AI-007 Shadow GenAI" sheetId="13" r:id="R76c510bef7464001"/>
    <x:sheet xmlns:r="http://schemas.openxmlformats.org/officeDocument/2006/relationships" name="Schema Mapping" sheetId="14" r:id="Rf6e1e03a02f348a8"/>
    <x:sheet xmlns:r="http://schemas.openxmlformats.org/officeDocument/2006/relationships" name="Sources" sheetId="15" r:id="Re376c17c1675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B57"/>
      <x:name val="Carlito"/>
    </x:font>
    <x:font>
      <x:sz val="9"/>
      <x:color rgb="FF27343E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9"/>
      <x:color rgb="FF173B5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4F0EF"/>
      </x:patternFill>
    </x:fill>
    <x:fill>
      <x:patternFill patternType="solid">
        <x:fgColor rgb="FFFFF1D5"/>
      </x:patternFill>
    </x:fill>
    <x:fill>
      <x:patternFill patternType="solid">
        <x:fgColor rgb="FF2D6F6D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7">
    <x:dxf>
      <x:fill>
        <x:patternFill>
          <x:bgColor rgb="FFF8E0E0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  <x:dxf>
      <x:fill>
        <x:patternFill>
          <x:bgColor rgb="FFE8F3E5"/>
        </x:patternFill>
      </x:fill>
    </x:dxf>
    <x:dxf>
      <x:fill>
        <x:patternFill>
          <x:bgColor rgb="FFEAF1F6"/>
        </x:patternFill>
      </x:fill>
    </x:dxf>
    <x:dxf>
      <x:fill>
        <x:patternFill>
          <x:bgColor rgb="FFFFF1D5"/>
        </x:patternFill>
      </x:fill>
    </x:dxf>
    <x:dxf>
      <x:fill>
        <x:patternFill>
          <x:bgColor rgb="FFF8E0E0"/>
        </x:patternFill>
      </x:fill>
    </x:dxf>
    <x:dxf>
      <x:fill>
        <x:patternFill>
          <x:bgColor rgb="FFF4F6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d767d9b0f4857" /><Relationship Type="http://schemas.openxmlformats.org/officeDocument/2006/relationships/theme" Target="/xl/theme/theme1.xml" Id="Re42c1f6d414940c5" /><Relationship Type="http://schemas.openxmlformats.org/officeDocument/2006/relationships/sharedStrings" Target="/xl/sharedStrings.xml" Id="R01f743cb349c437b" /><Relationship Type="http://schemas.openxmlformats.org/officeDocument/2006/relationships/worksheet" Target="/xl/worksheets/sheet1.xml" Id="Re769591b493944aa" /><Relationship Type="http://schemas.openxmlformats.org/officeDocument/2006/relationships/worksheet" Target="/xl/worksheets/sheet2.xml" Id="R619a05799498488e" /><Relationship Type="http://schemas.openxmlformats.org/officeDocument/2006/relationships/worksheet" Target="/xl/worksheets/sheet3.xml" Id="R3e479a857c7241bd" /><Relationship Type="http://schemas.openxmlformats.org/officeDocument/2006/relationships/worksheet" Target="/xl/worksheets/sheet4.xml" Id="R8da6abfa4fff4680" /><Relationship Type="http://schemas.openxmlformats.org/officeDocument/2006/relationships/worksheet" Target="/xl/worksheets/sheet5.xml" Id="R099aee506be348d0" /><Relationship Type="http://schemas.openxmlformats.org/officeDocument/2006/relationships/worksheet" Target="/xl/worksheets/sheet6.xml" Id="R3bc4eb74b6d648da" /><Relationship Type="http://schemas.openxmlformats.org/officeDocument/2006/relationships/worksheet" Target="/xl/worksheets/sheet7.xml" Id="R623387a0012b4056" /><Relationship Type="http://schemas.openxmlformats.org/officeDocument/2006/relationships/worksheet" Target="/xl/worksheets/sheet8.xml" Id="R6be56d61dcfa48d8" /><Relationship Type="http://schemas.openxmlformats.org/officeDocument/2006/relationships/worksheet" Target="/xl/worksheets/sheet9.xml" Id="Re6aa1174e2ed425c" /><Relationship Type="http://schemas.openxmlformats.org/officeDocument/2006/relationships/worksheet" Target="/xl/worksheets/sheet10.xml" Id="R71168b7f1d314eef" /><Relationship Type="http://schemas.openxmlformats.org/officeDocument/2006/relationships/worksheet" Target="/xl/worksheets/sheet11.xml" Id="Rc24d051af3ba42d3" /><Relationship Type="http://schemas.openxmlformats.org/officeDocument/2006/relationships/worksheet" Target="/xl/worksheets/sheet12.xml" Id="R9266e780edd642ba" /><Relationship Type="http://schemas.openxmlformats.org/officeDocument/2006/relationships/worksheet" Target="/xl/worksheets/sheet13.xml" Id="R76c510bef7464001" /><Relationship Type="http://schemas.openxmlformats.org/officeDocument/2006/relationships/worksheet" Target="/xl/worksheets/sheet14.xml" Id="Rf6e1e03a02f348a8" /><Relationship Type="http://schemas.openxmlformats.org/officeDocument/2006/relationships/worksheet" Target="/xl/worksheets/sheet15.xml" Id="Re376c17c16754f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0ce1cdc80f4f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AIBOM Documented Component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Documented %</c:v>
          </c:tx>
          <c:cat>
            <c:strRef>
              <c:f>'Portfolio Summary'!$B$4:$B$10</c:f>
              <c:strCache>
                <c:ptCount val="0"/>
              </c:strCache>
            </c:strRef>
          </c:cat>
          <c:val>
            <c:numRef>
              <c:f>'Portfolio Summary'!$M$4:$M$10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0ce1cdc80f4f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AIBOMPortfolio" displayName="AIBOMPortfolio" ref="A3:N10" headerRowCount="1" totalsRowCount="0" totalsRowShown="0">
  <x:tableColumns count="14">
    <x:tableColumn id="1" name="AI ID"/>
    <x:tableColumn id="2" name="System"/>
    <x:tableColumn id="3" name="Lifecycle"/>
    <x:tableColumn id="4" name="System Version"/>
    <x:tableColumn id="5" name="Provider"/>
    <x:tableColumn id="6" name="Third Party"/>
    <x:tableColumn id="7" name="Current Gate"/>
    <x:tableColumn id="8" name="Residual Risk"/>
    <x:tableColumn id="9" name="Component Rows"/>
    <x:tableColumn id="10" name="Known"/>
    <x:tableColumn id="11" name="Partial"/>
    <x:tableColumn id="12" name="TBD/Unknown"/>
    <x:tableColumn id="13" name="Known %"/>
    <x:tableColumn id="14" name="AIBOM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IBOMComponents" displayName="AIBOMComponents" ref="A3:N58" headerRowCount="1" totalsRowCount="0" totalsRowShown="0">
  <x:tableColumns count="14">
    <x:tableColumn id="1" name="Component ID"/>
    <x:tableColumn id="2" name="AI ID"/>
    <x:tableColumn id="3" name="System"/>
    <x:tableColumn id="4" name="Component Type"/>
    <x:tableColumn id="5" name="Component Name"/>
    <x:tableColumn id="6" name="Role / Purpose"/>
    <x:tableColumn id="7" name="Version / Revision"/>
    <x:tableColumn id="8" name="Supplier / Provider"/>
    <x:tableColumn id="9" name="Hosting / Location"/>
    <x:tableColumn id="10" name="License / Rights"/>
    <x:tableColumn id="11" name="Identifier / Hash"/>
    <x:tableColumn id="12" name="Evidence Source"/>
    <x:tableColumn id="13" name="Evidence Status"/>
    <x:tableColumn id="1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IBOMDependencies" displayName="AIBOMDependencies" ref="A3:G45" headerRowCount="1" totalsRowCount="0" totalsRowShown="0">
  <x:tableColumns count="7">
    <x:tableColumn id="1" name="Relationship ID"/>
    <x:tableColumn id="2" name="AI ID"/>
    <x:tableColumn id="3" name="From Component"/>
    <x:tableColumn id="4" name="Relationship"/>
    <x:tableColumn id="5" name="To Component"/>
    <x:tableColumn id="6" name="Evidence Status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IBOMDataAssets" displayName="AIBOMDataAssets" ref="A3:O40" headerRowCount="1" totalsRowCount="0" totalsRowShown="0">
  <x:tableColumns count="15">
    <x:tableColumn id="1" name="Data Asset ID"/>
    <x:tableColumn id="2" name="AI ID"/>
    <x:tableColumn id="3" name="Data Asset"/>
    <x:tableColumn id="4" name="Role"/>
    <x:tableColumn id="5" name="Classification"/>
    <x:tableColumn id="6" name="Personal Data"/>
    <x:tableColumn id="7" name="Sensitive Data"/>
    <x:tableColumn id="8" name="Confidential / IP"/>
    <x:tableColumn id="9" name="Provenance"/>
    <x:tableColumn id="10" name="Rights / License"/>
    <x:tableColumn id="11" name="Location"/>
    <x:tableColumn id="12" name="Retention"/>
    <x:tableColumn id="13" name="Quality Evidence"/>
    <x:tableColumn id="14" name="Evidence Status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IBOMVendors" displayName="AIBOMVendors" ref="A3:I10" headerRowCount="1" totalsRowCount="0" totalsRowShown="0">
  <x:tableColumns count="9">
    <x:tableColumn id="1" name="Vendor/Service ID"/>
    <x:tableColumn id="2" name="AI ID"/>
    <x:tableColumn id="3" name="Provider / Supplier"/>
    <x:tableColumn id="4" name="Service / Role"/>
    <x:tableColumn id="5" name="Dependency Type"/>
    <x:tableColumn id="6" name="Hosting"/>
    <x:tableColumn id="7" name="Location"/>
    <x:tableColumn id="8" name="Required Evidence / Open Questions"/>
    <x:tableColumn id="9" name="Evidenc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92db211b5b94287" /><Relationship Type="http://schemas.openxmlformats.org/officeDocument/2006/relationships/table" Target="/xl/tables/table1.xml" Id="Rd4741c08733943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4f2215e69348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a8257633f548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f06c4a23204a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03d05bf90f4b4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7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DUCKWORKS | AI BILL OF MATERIALS (AIBOM) REGISTER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Version 1.0 | Project W.I.N.G. | Fictional organization and synthetic data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Purpose: maintain a traceable inventory of AI/ML models, software/service components, data assets, integrations, hosting dependencies and supply-chain relationships for each Duckworks AI system. This workbook is an internal governance artifact informed by CycloneDX AI/ML-BOM, SPDX 3.0.1 AI/Dataset profiles and established SBOM transparency concepts. It is not itself a machine-readable CycloneDX/SPDX conformance artifact and does not establish legal compliance.</x:v>
      </x:c>
      <x:c r="B4" s="18"/>
      <x:c r="C4" s="18"/>
      <x:c r="D4" s="18"/>
      <x:c r="E4" s="18"/>
      <x:c r="F4" s="18"/>
      <x:c r="G4" s="18"/>
      <x:c r="H4" s="18"/>
    </x:row>
    <x:row r="5">
      <x:c r="A5" s="18"/>
      <x:c r="B5" s="18"/>
      <x:c r="C5" s="18"/>
      <x:c r="D5" s="18"/>
      <x:c r="E5" s="18"/>
      <x:c r="F5" s="18"/>
      <x:c r="G5" s="18"/>
      <x:c r="H5" s="18"/>
    </x:row>
    <x:row r="6">
      <x:c r="A6" s="18"/>
      <x:c r="B6" s="18"/>
      <x:c r="C6" s="18"/>
      <x:c r="D6" s="18"/>
      <x:c r="E6" s="18"/>
      <x:c r="F6" s="18"/>
      <x:c r="G6" s="18"/>
      <x:c r="H6" s="18"/>
    </x:row>
    <x:row r="8" ht="22" customHeight="1">
      <x:c r="A8" s="25" t="str">
        <x:v>Operating Rules</x:v>
      </x:c>
      <x:c r="B8" s="25"/>
      <x:c r="C8" s="25"/>
      <x:c r="D8" s="25"/>
      <x:c r="E8" s="25"/>
      <x:c r="F8" s="25"/>
      <x:c r="G8" s="25"/>
      <x:c r="H8" s="25"/>
    </x:row>
    <x:row r="9">
      <x:c r="A9" s="33" t="str">
        <x:v>Rule</x:v>
      </x:c>
      <x:c r="B9" s="33" t="str">
        <x:v>Area</x:v>
      </x:c>
      <x:c r="C9" s="33" t="str">
        <x:v>Requirement</x:v>
      </x:c>
    </x:row>
    <x:row r="10">
      <x:c r="A10" s="40" t="str">
        <x:v>1</x:v>
      </x:c>
      <x:c r="B10" s="40" t="str">
        <x:v>Evidence status</x:v>
      </x:c>
      <x:c r="C10" s="40" t="str">
        <x:v>Use Known, Partial, TBD, Unknown or N/A. Never invent exact model/library/version/license/hash data.</x:v>
      </x:c>
    </x:row>
    <x:row r="11">
      <x:c r="A11" s="40" t="str">
        <x:v>2</x:v>
      </x:c>
      <x:c r="B11" s="40" t="str">
        <x:v>System boundary</x:v>
      </x:c>
      <x:c r="C11" s="40" t="str">
        <x:v>Each AIBOM is tied to one AI ID and its approved intended purpose / lifecycle gate.</x:v>
      </x:c>
    </x:row>
    <x:row r="12">
      <x:c r="A12" s="40" t="str">
        <x:v>3</x:v>
      </x:c>
      <x:c r="B12" s="40" t="str">
        <x:v>Shadow AI</x:v>
      </x:c>
      <x:c r="C12" s="40" t="str">
        <x:v>AI-007 is a discovery placeholder, not one valid consolidated AIBOM. Each material tool/use must be decomposed into a separate AI ID/AIBOM.</x:v>
      </x:c>
    </x:row>
    <x:row r="13">
      <x:c r="A13" s="40" t="str">
        <x:v>4</x:v>
      </x:c>
      <x:c r="B13" s="40" t="str">
        <x:v>Change control</x:v>
      </x:c>
      <x:c r="C13" s="40" t="str">
        <x:v>Material changes to model, provider, data, RAG corpus, integrations, hosting, intended purpose, autonomy or vendor terms trigger AIBOM review/update.</x:v>
      </x:c>
    </x:row>
    <x:row r="14">
      <x:c r="A14" s="40" t="str">
        <x:v>5</x:v>
      </x:c>
      <x:c r="B14" s="40" t="str">
        <x:v>Supply-chain transparency</x:v>
      </x:c>
      <x:c r="C14" s="40" t="str">
        <x:v>Link components, datasets, services and dependencies; record supplier/provider, version, identifiers, license/rights, hosting/location, integrity evidence and source evidence where available.</x:v>
      </x:c>
    </x:row>
    <x:row r="15">
      <x:c r="A15" s="40" t="str">
        <x:v>6</x:v>
      </x:c>
      <x:c r="B15" s="40" t="str">
        <x:v>Legal separation</x:v>
      </x:c>
      <x:c r="C15" s="40" t="str">
        <x:v>AIBOM completeness is not an EU AI Act classification, GDPR determination, certification or risk rating.</x:v>
      </x:c>
    </x:row>
    <x:row r="16">
      <x:c r="A16" s="40" t="str">
        <x:v>7</x:v>
      </x:c>
      <x:c r="B16" s="40" t="str">
        <x:v>Assurance</x:v>
      </x:c>
      <x:c r="C16" s="40" t="str">
        <x:v>Internal Audit may test completeness/operation but does not own the AIBOM process.</x:v>
      </x:c>
    </x:row>
    <x:row r="18" ht="22" customHeight="1">
      <x:c r="A18" s="25" t="str">
        <x:v>Workbook Structure</x:v>
      </x:c>
      <x:c r="B18" s="25"/>
      <x:c r="C18" s="25"/>
      <x:c r="D18" s="25"/>
      <x:c r="E18" s="25"/>
      <x:c r="F18" s="25"/>
      <x:c r="G18" s="25"/>
      <x:c r="H18" s="25"/>
    </x:row>
    <x:row r="19">
      <x:c r="A19" s="33" t="str">
        <x:v>Sheet</x:v>
      </x:c>
      <x:c r="B19" s="33" t="str">
        <x:v>Purpose</x:v>
      </x:c>
    </x:row>
    <x:row r="20">
      <x:c r="A20" s="40" t="str">
        <x:v>Portfolio Summary</x:v>
      </x:c>
      <x:c r="B20" s="40" t="str">
        <x:v>Management view of AIBOM status, components, data, vendors and current governance gate.</x:v>
      </x:c>
    </x:row>
    <x:row r="21">
      <x:c r="A21" s="40" t="str">
        <x:v>Component Catalog</x:v>
      </x:c>
      <x:c r="B21" s="40" t="str">
        <x:v>All system components in one normalized catalog.</x:v>
      </x:c>
    </x:row>
    <x:row r="22">
      <x:c r="A22" s="40" t="str">
        <x:v>Dependency Map</x:v>
      </x:c>
      <x:c r="B22" s="40" t="str">
        <x:v>Relationship inventory between AIBOM components.</x:v>
      </x:c>
    </x:row>
    <x:row r="23">
      <x:c r="A23" s="40" t="str">
        <x:v>Data Assets</x:v>
      </x:c>
      <x:c r="B23" s="40" t="str">
        <x:v>Data / corpus / prompt / image / operational data components and evidence status.</x:v>
      </x:c>
    </x:row>
    <x:row r="24">
      <x:c r="A24" s="40" t="str">
        <x:v>Vendors &amp; Services</x:v>
      </x:c>
      <x:c r="B24" s="40" t="str">
        <x:v>Supplier, hosting and service dependencies plus evidence gaps.</x:v>
      </x:c>
    </x:row>
    <x:row r="25">
      <x:c r="A25" s="40" t="str">
        <x:v>AI-001 ... AI-007</x:v>
      </x:c>
      <x:c r="B25" s="40" t="str">
        <x:v>System-specific AIBOM views. AI-007 is a discovery placeholder.</x:v>
      </x:c>
    </x:row>
    <x:row r="26">
      <x:c r="A26" s="40" t="str">
        <x:v>Schema Mapping</x:v>
      </x:c>
      <x:c r="B26" s="40" t="str">
        <x:v>Illustrative mapping from Duckworks fields to CycloneDX / SPDX / SBOM concepts.</x:v>
      </x:c>
    </x:row>
    <x:row r="27">
      <x:c r="A27" s="40" t="str">
        <x:v>Sources</x:v>
      </x:c>
      <x:c r="B27" s="40" t="str">
        <x:v>Official public sources used to structure the workbook.</x:v>
      </x:c>
    </x:row>
  </x:sheetData>
  <x:mergeCells>
    <x:mergeCell ref="A1:H1"/>
    <x:mergeCell ref="A2:H2"/>
    <x:mergeCell ref="A4:H6"/>
    <x:mergeCell ref="A8:H8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13" hidden="0" customWidth="1"/>
    <x:col min="5" max="5" width="30" hidden="0" customWidth="1"/>
    <x:col min="6" max="6" width="11" hidden="0" customWidth="1"/>
    <x:col min="7" max="7" width="28" hidden="0" customWidth="1"/>
    <x:col min="8" max="8" width="13" hidden="0" customWidth="1"/>
    <x:col min="9" max="9" width="12" hidden="0" customWidth="1"/>
    <x:col min="10" max="10" width="10" hidden="0" customWidth="1"/>
    <x:col min="11" max="11" width="10" hidden="0" customWidth="1"/>
    <x:col min="12" max="12" width="13" hidden="0" customWidth="1"/>
    <x:col min="13" max="13" width="10" hidden="0" customWidth="1"/>
    <x:col min="14" max="14" width="17" hidden="0" customWidth="1"/>
  </x:cols>
  <x:sheetData>
    <x:row r="1" ht="28" customHeight="1">
      <x:c r="A1" s="5" t="str">
        <x:v>DUCKWORKS | AIBOM PORTFOLIO SUMMARY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1" t="str">
        <x:v>Version 1.0 | AIBOM status is evidence completeness, not risk or legal classification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3">
      <x:c r="A3" s="33" t="str">
        <x:v>AI ID</x:v>
      </x:c>
      <x:c r="B3" s="33" t="str">
        <x:v>System</x:v>
      </x:c>
      <x:c r="C3" s="33" t="str">
        <x:v>Lifecycle</x:v>
      </x:c>
      <x:c r="D3" s="33" t="str">
        <x:v>System Version</x:v>
      </x:c>
      <x:c r="E3" s="33" t="str">
        <x:v>Provider</x:v>
      </x:c>
      <x:c r="F3" s="33" t="str">
        <x:v>Third Party</x:v>
      </x:c>
      <x:c r="G3" s="33" t="str">
        <x:v>Current Gate</x:v>
      </x:c>
      <x:c r="H3" s="33" t="str">
        <x:v>Residual Risk</x:v>
      </x:c>
      <x:c r="I3" s="33" t="str">
        <x:v>Component Rows</x:v>
      </x:c>
      <x:c r="J3" s="33" t="str">
        <x:v>Known</x:v>
      </x:c>
      <x:c r="K3" s="33" t="str">
        <x:v>Partial</x:v>
      </x:c>
      <x:c r="L3" s="33" t="str">
        <x:v>TBD/Unknown</x:v>
      </x:c>
      <x:c r="M3" s="33" t="str">
        <x:v>Documented %</x:v>
      </x:c>
      <x:c r="N3" s="33" t="str">
        <x:v>AIBOM Status</x:v>
      </x:c>
    </x:row>
    <x:row r="4">
      <x:c r="A4" s="40" t="str">
        <x:v>AI-001</x:v>
      </x:c>
      <x:c r="B4" s="40" t="str">
        <x:v>DuckDesign AI</x:v>
      </x:c>
      <x:c r="C4" s="40" t="str">
        <x:v>Pilot</x:v>
      </x:c>
      <x:c r="D4" s="40" t="str">
        <x:v>Pilot-0.8</x:v>
      </x:c>
      <x:c r="E4" s="40" t="str">
        <x:v>Fictional third-party AI provider + internal tooling</x:v>
      </x:c>
      <x:c r="F4" s="40" t="str">
        <x:v>Yes</x:v>
      </x:c>
      <x:c r="G4" s="40" t="str">
        <x:v>Restricted pilot only</x:v>
      </x:c>
      <x:c r="H4" s="40" t="str">
        <x:v>High (10)</x:v>
      </x:c>
      <x:c r="I4" s="40" t="n">
        <x:v>7</x:v>
      </x:c>
      <x:c r="J4" s="40" t="n">
        <x:v>0</x:v>
      </x:c>
      <x:c r="K4" s="40" t="n">
        <x:v>5</x:v>
      </x:c>
      <x:c r="L4" s="40" t="n">
        <x:v>2</x:v>
      </x:c>
      <x:c r="M4" s="44" t="n">
        <x:f>IF(I4=0,0,(J4+K4)/I4)</x:f>
        <x:v>0.7142857142857143</x:v>
      </x:c>
      <x:c r="N4" s="40" t="str">
        <x:v>Partial Baseline</x:v>
      </x:c>
    </x:row>
    <x:row r="5">
      <x:c r="A5" s="40" t="str">
        <x:v>AI-002</x:v>
      </x:c>
      <x:c r="B5" s="40" t="str">
        <x:v>QuackBot</x:v>
      </x:c>
      <x:c r="C5" s="40" t="str">
        <x:v>Development</x:v>
      </x:c>
      <x:c r="D5" s="40" t="str">
        <x:v>Dev-0.4</x:v>
      </x:c>
      <x:c r="E5" s="40" t="str">
        <x:v>Fictional SaaS LLM provider</x:v>
      </x:c>
      <x:c r="F5" s="40" t="str">
        <x:v>Yes</x:v>
      </x:c>
      <x:c r="G5" s="40" t="str">
        <x:v>Production blocked pending gates</x:v>
      </x:c>
      <x:c r="H5" s="40" t="str">
        <x:v>High (12)</x:v>
      </x:c>
      <x:c r="I5" s="40" t="n">
        <x:v>8</x:v>
      </x:c>
      <x:c r="J5" s="40" t="n">
        <x:v>0</x:v>
      </x:c>
      <x:c r="K5" s="40" t="n">
        <x:v>6</x:v>
      </x:c>
      <x:c r="L5" s="40" t="n">
        <x:v>2</x:v>
      </x:c>
      <x:c r="M5" s="44" t="n">
        <x:f>IF(I5=0,0,(J5+K5)/I5)</x:f>
        <x:v>0.75</x:v>
      </x:c>
      <x:c r="N5" s="40" t="str">
        <x:v>Partial Baseline</x:v>
      </x:c>
    </x:row>
    <x:row r="6">
      <x:c r="A6" s="40" t="str">
        <x:v>AI-003</x:v>
      </x:c>
      <x:c r="B6" s="40" t="str">
        <x:v>FeatherForecast</x:v>
      </x:c>
      <x:c r="C6" s="40" t="str">
        <x:v>Production</x:v>
      </x:c>
      <x:c r="D6" s="40" t="str">
        <x:v>2.3.1</x:v>
      </x:c>
      <x:c r="E6" s="40" t="str">
        <x:v>Internal model</x:v>
      </x:c>
      <x:c r="F6" s="40" t="str">
        <x:v>No</x:v>
      </x:c>
      <x:c r="G6" s="40" t="str">
        <x:v>Continue with monitoring</x:v>
      </x:c>
      <x:c r="H6" s="40" t="str">
        <x:v>Moderate (6)</x:v>
      </x:c>
      <x:c r="I6" s="40" t="n">
        <x:v>8</x:v>
      </x:c>
      <x:c r="J6" s="40" t="n">
        <x:v>1</x:v>
      </x:c>
      <x:c r="K6" s="40" t="n">
        <x:v>6</x:v>
      </x:c>
      <x:c r="L6" s="40" t="n">
        <x:v>1</x:v>
      </x:c>
      <x:c r="M6" s="44" t="n">
        <x:f>IF(I6=0,0,(J6+K6)/I6)</x:f>
        <x:v>0.875</x:v>
      </x:c>
      <x:c r="N6" s="40" t="str">
        <x:v>Partial Baseline</x:v>
      </x:c>
    </x:row>
    <x:row r="7">
      <x:c r="A7" s="40" t="str">
        <x:v>AI-004</x:v>
      </x:c>
      <x:c r="B7" s="40" t="str">
        <x:v>WingInspect Vision</x:v>
      </x:c>
      <x:c r="C7" s="40" t="str">
        <x:v>Pilot</x:v>
      </x:c>
      <x:c r="D7" s="40" t="str">
        <x:v>Pilot-1.1</x:v>
      </x:c>
      <x:c r="E7" s="40" t="str">
        <x:v>Internal model</x:v>
      </x:c>
      <x:c r="F7" s="40" t="str">
        <x:v>No</x:v>
      </x:c>
      <x:c r="G7" s="40" t="str">
        <x:v>Restricted pilot only</x:v>
      </x:c>
      <x:c r="H7" s="40" t="str">
        <x:v>High (10)</x:v>
      </x:c>
      <x:c r="I7" s="40" t="n">
        <x:v>8</x:v>
      </x:c>
      <x:c r="J7" s="40" t="n">
        <x:v>1</x:v>
      </x:c>
      <x:c r="K7" s="40" t="n">
        <x:v>4</x:v>
      </x:c>
      <x:c r="L7" s="40" t="n">
        <x:v>3</x:v>
      </x:c>
      <x:c r="M7" s="44" t="n">
        <x:f>IF(I7=0,0,(J7+K7)/I7)</x:f>
        <x:v>0.625</x:v>
      </x:c>
      <x:c r="N7" s="40" t="str">
        <x:v>Partial Baseline</x:v>
      </x:c>
    </x:row>
    <x:row r="8">
      <x:c r="A8" s="40" t="str">
        <x:v>AI-005</x:v>
      </x:c>
      <x:c r="B8" s="40" t="str">
        <x:v>DuckTalent AI</x:v>
      </x:c>
      <x:c r="C8" s="40" t="str">
        <x:v>Concept</x:v>
      </x:c>
      <x:c r="D8" s="40" t="str">
        <x:v>Concept</x:v>
      </x:c>
      <x:c r="E8" s="40" t="str">
        <x:v>Vendor not selected</x:v>
      </x:c>
      <x:c r="F8" s="40" t="str">
        <x:v>Unknown</x:v>
      </x:c>
      <x:c r="G8" s="40" t="str">
        <x:v>Do not deploy in current state</x:v>
      </x:c>
      <x:c r="H8" s="40" t="str">
        <x:v>Critical (20)</x:v>
      </x:c>
      <x:c r="I8" s="40" t="n">
        <x:v>8</x:v>
      </x:c>
      <x:c r="J8" s="40" t="n">
        <x:v>0</x:v>
      </x:c>
      <x:c r="K8" s="40" t="n">
        <x:v>4</x:v>
      </x:c>
      <x:c r="L8" s="40" t="n">
        <x:v>4</x:v>
      </x:c>
      <x:c r="M8" s="44" t="n">
        <x:f>IF(I8=0,0,(J8+K8)/I8)</x:f>
        <x:v>0.5</x:v>
      </x:c>
      <x:c r="N8" s="40" t="str">
        <x:v>Incomplete</x:v>
      </x:c>
    </x:row>
    <x:row r="9">
      <x:c r="A9" s="40" t="str">
        <x:v>AI-006</x:v>
      </x:c>
      <x:c r="B9" s="40" t="str">
        <x:v>PondGPT</x:v>
      </x:c>
      <x:c r="C9" s="40" t="str">
        <x:v>Pilot</x:v>
      </x:c>
      <x:c r="D9" s="40" t="str">
        <x:v>Pilot-0.9</x:v>
      </x:c>
      <x:c r="E9" s="40" t="str">
        <x:v>Fictional enterprise AI provider</x:v>
      </x:c>
      <x:c r="F9" s="40" t="str">
        <x:v>Yes</x:v>
      </x:c>
      <x:c r="G9" s="40" t="str">
        <x:v>Restricted pilot only</x:v>
      </x:c>
      <x:c r="H9" s="40" t="str">
        <x:v>High (12)</x:v>
      </x:c>
      <x:c r="I9" s="40" t="n">
        <x:v>12</x:v>
      </x:c>
      <x:c r="J9" s="40" t="n">
        <x:v>0</x:v>
      </x:c>
      <x:c r="K9" s="40" t="n">
        <x:v>8</x:v>
      </x:c>
      <x:c r="L9" s="40" t="n">
        <x:v>4</x:v>
      </x:c>
      <x:c r="M9" s="44" t="n">
        <x:f>IF(I9=0,0,(J9+K9)/I9)</x:f>
        <x:v>0.6666666666666666</x:v>
      </x:c>
      <x:c r="N9" s="40" t="str">
        <x:v>Partial Baseline</x:v>
      </x:c>
    </x:row>
    <x:row r="10">
      <x:c r="A10" s="40" t="str">
        <x:v>AI-007</x:v>
      </x:c>
      <x:c r="B10" s="40" t="str">
        <x:v>Unregistered GenAI Usage</x:v>
      </x:c>
      <x:c r="C10" s="40" t="str">
        <x:v>Discovered</x:v>
      </x:c>
      <x:c r="D10" s="40" t="str">
        <x:v>Unknown</x:v>
      </x:c>
      <x:c r="E10" s="40" t="str">
        <x:v>Multiple unknown vendors</x:v>
      </x:c>
      <x:c r="F10" s="40" t="str">
        <x:v>Yes</x:v>
      </x:c>
      <x:c r="G10" s="40" t="str">
        <x:v>Immediate containment</x:v>
      </x:c>
      <x:c r="H10" s="40" t="str">
        <x:v>Critical (20)</x:v>
      </x:c>
      <x:c r="I10" s="40" t="n">
        <x:v>4</x:v>
      </x:c>
      <x:c r="J10" s="40" t="n">
        <x:v>0</x:v>
      </x:c>
      <x:c r="K10" s="40" t="n">
        <x:v>0</x:v>
      </x:c>
      <x:c r="L10" s="40" t="n">
        <x:v>4</x:v>
      </x:c>
      <x:c r="M10" s="44" t="n">
        <x:f>IF(I10=0,0,(J10+K10)/I10)</x:f>
        <x:v>0</x:v>
      </x:c>
      <x:c r="N10" s="40" t="str">
        <x:v>Discovery Required</x:v>
      </x:c>
    </x:row>
    <x:row r="13" ht="22" customHeight="1">
      <x:c r="A13" s="25" t="str">
        <x:v>Portfolio KPI Snapshot</x:v>
      </x:c>
      <x:c r="B13" s="25"/>
      <x:c r="C13" s="25"/>
      <x:c r="D13" s="25"/>
      <x:c r="E13" s="25"/>
      <x:c r="F13" s="25"/>
    </x:row>
    <x:row r="14">
      <x:c r="A14" s="33" t="str">
        <x:v>Metric</x:v>
      </x:c>
      <x:c r="B14" s="33" t="str">
        <x:v>Value</x:v>
      </x:c>
    </x:row>
    <x:row r="15">
      <x:c r="A15" s="40" t="str">
        <x:v>AI entries</x:v>
      </x:c>
      <x:c r="B15" s="40" t="n">
        <x:v>7</x:v>
      </x:c>
    </x:row>
    <x:row r="16">
      <x:c r="A16" s="40" t="str">
        <x:v>Third-party / unknown dependency</x:v>
      </x:c>
      <x:c r="B16" s="40" t="n">
        <x:f>COUNTIF(F4:F10,"Yes")+COUNTIF(F4:F10,"Unknown")</x:f>
        <x:v>5</x:v>
      </x:c>
    </x:row>
    <x:row r="17">
      <x:c r="A17" s="40" t="str">
        <x:v>Critical residual risk entries</x:v>
      </x:c>
      <x:c r="B17" s="40" t="n">
        <x:f>COUNTIF(H4:H10,"Critical (20)")</x:f>
        <x:v>2</x:v>
      </x:c>
    </x:row>
    <x:row r="18">
      <x:c r="A18" s="40" t="str">
        <x:v>Discovery placeholder entries</x:v>
      </x:c>
      <x:c r="B18" s="40" t="n">
        <x:f>COUNTIF(N4:N10,"Discovery Required")</x:f>
        <x:v>1</x:v>
      </x:c>
    </x:row>
  </x:sheetData>
  <x:mergeCells>
    <x:mergeCell ref="A1:N1"/>
    <x:mergeCell ref="A2:N2"/>
    <x:mergeCell ref="A13:F13"/>
  </x:mergeCells>
  <x:conditionalFormatting sqref="N4:N10">
    <x:cfRule type="expression" dxfId="0" priority="1">
      <x:formula>N4="Discovery Required"</x:formula>
    </x:cfRule>
    <x:cfRule type="expression" dxfId="1" priority="2">
      <x:formula>N4="Incomplete"</x:formula>
    </x:cfRule>
    <x:cfRule type="expression" dxfId="2" priority="3">
      <x:formula>N4="Partial Baseline"</x:formula>
    </x:cfRule>
  </x:conditionalFormatting>
  <x:conditionalFormatting sqref="M4:M1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{6AA50E9A-BA5D-6419-0A15-D6B4302FE145}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792db211b5b94287"/>
  <x:tableParts count="1">
    <x:tablePart xmlns:r="http://schemas.openxmlformats.org/officeDocument/2006/relationships" r:id="Rd4741c08733943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6AA50E9A-BA5D-6419-0A15-D6B4302FE145}">
            <x14:dataBar gradient="1">
              <x14:cfvo type="min"/>
              <x14:cfvo type="max"/>
              <x14:fillColor rgb="FFA02B93"/>
            </x14:dataBar>
          </x14:cfRule>
          <xm:sqref>M4:M10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20" hidden="0" customWidth="1"/>
    <x:col min="4" max="4" width="18" hidden="0" customWidth="1"/>
    <x:col min="5" max="5" width="28" hidden="0" customWidth="1"/>
    <x:col min="6" max="6" width="34" hidden="0" customWidth="1"/>
    <x:col min="7" max="7" width="15" hidden="0" customWidth="1"/>
    <x:col min="8" max="8" width="30" hidden="0" customWidth="1"/>
    <x:col min="9" max="9" width="25" hidden="0" customWidth="1"/>
    <x:col min="10" max="10" width="18" hidden="0" customWidth="1"/>
    <x:col min="11" max="11" width="18" hidden="0" customWidth="1"/>
    <x:col min="12" max="12" width="22" hidden="0" customWidth="1"/>
    <x:col min="13" max="13" width="13" hidden="0" customWidth="1"/>
    <x:col min="14" max="14" width="48" hidden="0" customWidth="1"/>
  </x:cols>
  <x:sheetData>
    <x:row r="1" ht="28" customHeight="1">
      <x:c r="A1" s="5" t="str">
        <x:v>DUCKWORKS | AIBOM COMPONENT CATALOG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33" t="str">
        <x:v>Component ID</x:v>
      </x:c>
      <x:c r="B3" s="33" t="str">
        <x:v>AI ID</x:v>
      </x:c>
      <x:c r="C3" s="33" t="str">
        <x:v>System</x:v>
      </x:c>
      <x:c r="D3" s="33" t="str">
        <x:v>Component Type</x:v>
      </x:c>
      <x:c r="E3" s="33" t="str">
        <x:v>Component Name</x:v>
      </x:c>
      <x:c r="F3" s="33" t="str">
        <x:v>Role / Purpose</x:v>
      </x:c>
      <x:c r="G3" s="33" t="str">
        <x:v>Version / Revision</x:v>
      </x:c>
      <x:c r="H3" s="33" t="str">
        <x:v>Supplier / Provider</x:v>
      </x:c>
      <x:c r="I3" s="33" t="str">
        <x:v>Hosting / Location</x:v>
      </x:c>
      <x:c r="J3" s="33" t="str">
        <x:v>License / Rights</x:v>
      </x:c>
      <x:c r="K3" s="33" t="str">
        <x:v>Identifier / Hash</x:v>
      </x:c>
      <x:c r="L3" s="33" t="str">
        <x:v>Evidence Source</x:v>
      </x:c>
      <x:c r="M3" s="33" t="str">
        <x:v>Evidence Status</x:v>
      </x:c>
      <x:c r="N3" s="33" t="str">
        <x:v>Notes</x:v>
      </x:c>
    </x:row>
    <x:row r="4">
      <x:c r="A4" s="40" t="str">
        <x:v>AIBOM-AI001-C01</x:v>
      </x:c>
      <x:c r="B4" s="40" t="str">
        <x:v>AI-001</x:v>
      </x:c>
      <x:c r="C4" s="40" t="str">
        <x:v>DuckDesign AI</x:v>
      </x:c>
      <x:c r="D4" s="40" t="str">
        <x:v>Application</x:v>
      </x:c>
      <x:c r="E4" s="40" t="str">
        <x:v>DuckDesign AI composite application</x:v>
      </x:c>
      <x:c r="F4" s="40" t="str">
        <x:v>System orchestration / engineering assistant</x:v>
      </x:c>
      <x:c r="G4" s="40" t="str">
        <x:v>Pilot-0.8</x:v>
      </x:c>
      <x:c r="H4" s="40" t="str">
        <x:v>Duckworks + fictional third-party provider</x:v>
      </x:c>
      <x:c r="I4" s="40" t="str">
        <x:v>Private cloud / tenant-isolated SaaS</x:v>
      </x:c>
      <x:c r="J4" s="40" t="str">
        <x:v>TBD</x:v>
      </x:c>
      <x:c r="K4" s="40" t="str">
        <x:v>TBD</x:v>
      </x:c>
      <x:c r="L4" s="40" t="str">
        <x:v>Asset Inventory</x:v>
      </x:c>
      <x:c r="M4" s="40" t="str">
        <x:v>Partial</x:v>
      </x:c>
      <x:c r="N4" s="40" t="str">
        <x:v>Application version known; package/build identifiers not evidenced.</x:v>
      </x:c>
    </x:row>
    <x:row r="5">
      <x:c r="A5" s="40" t="str">
        <x:v>AIBOM-AI001-C02</x:v>
      </x:c>
      <x:c r="B5" s="40" t="str">
        <x:v>AI-001</x:v>
      </x:c>
      <x:c r="C5" s="40" t="str">
        <x:v>DuckDesign AI</x:v>
      </x:c>
      <x:c r="D5" s="40" t="str">
        <x:v>AI/ML Model</x:v>
      </x:c>
      <x:c r="E5" s="40" t="str">
        <x:v>Multimodal foundation model</x:v>
      </x:c>
      <x:c r="F5" s="40" t="str">
        <x:v>Generative design / technical assistance</x:v>
      </x:c>
      <x:c r="G5" s="40" t="str">
        <x:v>TBD</x:v>
      </x:c>
      <x:c r="H5" s="40" t="str">
        <x:v>Fictional third-party AI provider</x:v>
      </x:c>
      <x:c r="I5" s="40" t="str">
        <x:v>Tenant-isolated SaaS</x:v>
      </x:c>
      <x:c r="J5" s="40" t="str">
        <x:v>TBD</x:v>
      </x:c>
      <x:c r="K5" s="40" t="str">
        <x:v>TBD</x:v>
      </x:c>
      <x:c r="L5" s="40" t="str">
        <x:v>Asset Inventory</x:v>
      </x:c>
      <x:c r="M5" s="40" t="str">
        <x:v>TBD</x:v>
      </x:c>
      <x:c r="N5" s="40" t="str">
        <x:v>Exact model name, revision, hash, license and model card not evidenced.</x:v>
      </x:c>
    </x:row>
    <x:row r="6">
      <x:c r="A6" s="40" t="str">
        <x:v>AIBOM-AI001-C03</x:v>
      </x:c>
      <x:c r="B6" s="40" t="str">
        <x:v>AI-001</x:v>
      </x:c>
      <x:c r="C6" s="40" t="str">
        <x:v>DuckDesign AI</x:v>
      </x:c>
      <x:c r="D6" s="40" t="str">
        <x:v>AI/ML Service</x:v>
      </x:c>
      <x:c r="E6" s="40" t="str">
        <x:v>Engineering optimization services</x:v>
      </x:c>
      <x:c r="F6" s="40" t="str">
        <x:v>Component/material optimization support</x:v>
      </x:c>
      <x:c r="G6" s="40" t="str">
        <x:v>TBD</x:v>
      </x:c>
      <x:c r="H6" s="40" t="str">
        <x:v>Fictional third-party provider + internal tooling</x:v>
      </x:c>
      <x:c r="I6" s="40" t="str">
        <x:v>Private cloud / SaaS</x:v>
      </x:c>
      <x:c r="J6" s="40" t="str">
        <x:v>TBD</x:v>
      </x:c>
      <x:c r="K6" s="40" t="str">
        <x:v>TBD</x:v>
      </x:c>
      <x:c r="L6" s="40" t="str">
        <x:v>Asset Inventory</x:v>
      </x:c>
      <x:c r="M6" s="40" t="str">
        <x:v>Partial</x:v>
      </x:c>
      <x:c r="N6" s="40" t="str">
        <x:v>Service composition and exact versions require architecture evidence.</x:v>
      </x:c>
    </x:row>
    <x:row r="7">
      <x:c r="A7" s="40" t="str">
        <x:v>AIBOM-AI001-C04</x:v>
      </x:c>
      <x:c r="B7" s="40" t="str">
        <x:v>AI-001</x:v>
      </x:c>
      <x:c r="C7" s="40" t="str">
        <x:v>DuckDesign AI</x:v>
      </x:c>
      <x:c r="D7" s="40" t="str">
        <x:v>Integration</x:v>
      </x:c>
      <x:c r="E7" s="40" t="str">
        <x:v>CAD platform</x:v>
      </x:c>
      <x:c r="F7" s="40" t="str">
        <x:v>Design-file workflow integration</x:v>
      </x:c>
      <x:c r="G7" s="40" t="str">
        <x:v>TBD</x:v>
      </x:c>
      <x:c r="H7" s="40" t="str">
        <x:v>Duckworks / CAD supplier TBD</x:v>
      </x:c>
      <x:c r="I7" s="40" t="str">
        <x:v>Engineering environment</x:v>
      </x:c>
      <x:c r="J7" s="40" t="str">
        <x:v>TBD</x:v>
      </x:c>
      <x:c r="K7" s="40" t="str">
        <x:v>TBD</x:v>
      </x:c>
      <x:c r="L7" s="40" t="str">
        <x:v>Asset Inventory</x:v>
      </x:c>
      <x:c r="M7" s="40" t="str">
        <x:v>Partial</x:v>
      </x:c>
      <x:c r="N7" s="40" t="str">
        <x:v>Platform named; product/version and interface details not evidenced.</x:v>
      </x:c>
    </x:row>
    <x:row r="8">
      <x:c r="A8" s="40" t="str">
        <x:v>AIBOM-AI001-C05</x:v>
      </x:c>
      <x:c r="B8" s="40" t="str">
        <x:v>AI-001</x:v>
      </x:c>
      <x:c r="C8" s="40" t="str">
        <x:v>DuckDesign AI</x:v>
      </x:c>
      <x:c r="D8" s="40" t="str">
        <x:v>Integration</x:v>
      </x:c>
      <x:c r="E8" s="40" t="str">
        <x:v>Simulation tooling</x:v>
      </x:c>
      <x:c r="F8" s="40" t="str">
        <x:v>Mechanical simulation support</x:v>
      </x:c>
      <x:c r="G8" s="40" t="str">
        <x:v>TBD</x:v>
      </x:c>
      <x:c r="H8" s="40" t="str">
        <x:v>Duckworks / supplier TBD</x:v>
      </x:c>
      <x:c r="I8" s="40" t="str">
        <x:v>Engineering environment</x:v>
      </x:c>
      <x:c r="J8" s="40" t="str">
        <x:v>TBD</x:v>
      </x:c>
      <x:c r="K8" s="40" t="str">
        <x:v>TBD</x:v>
      </x:c>
      <x:c r="L8" s="40" t="str">
        <x:v>Asset Inventory</x:v>
      </x:c>
      <x:c r="M8" s="40" t="str">
        <x:v>Partial</x:v>
      </x:c>
      <x:c r="N8" s="40" t="str">
        <x:v>Tool/version and API details not evidenced.</x:v>
      </x:c>
    </x:row>
    <x:row r="9">
      <x:c r="A9" s="40" t="str">
        <x:v>AIBOM-AI001-C06</x:v>
      </x:c>
      <x:c r="B9" s="40" t="str">
        <x:v>AI-001</x:v>
      </x:c>
      <x:c r="C9" s="40" t="str">
        <x:v>DuckDesign AI</x:v>
      </x:c>
      <x:c r="D9" s="40" t="str">
        <x:v>Infrastructure</x:v>
      </x:c>
      <x:c r="E9" s="40" t="str">
        <x:v>Private cloud / tenant-isolated SaaS</x:v>
      </x:c>
      <x:c r="F9" s="40" t="str">
        <x:v>Hosting / execution environment</x:v>
      </x:c>
      <x:c r="G9" s="40" t="str">
        <x:v>TBD</x:v>
      </x:c>
      <x:c r="H9" s="40" t="str">
        <x:v>Duckworks + provider</x:v>
      </x:c>
      <x:c r="I9" s="40" t="str">
        <x:v>EU</x:v>
      </x:c>
      <x:c r="J9" s="40" t="str">
        <x:v>N/A</x:v>
      </x:c>
      <x:c r="K9" s="40" t="str">
        <x:v>TBD</x:v>
      </x:c>
      <x:c r="L9" s="40" t="str">
        <x:v>Asset Inventory</x:v>
      </x:c>
      <x:c r="M9" s="40" t="str">
        <x:v>Partial</x:v>
      </x:c>
      <x:c r="N9" s="40" t="str">
        <x:v>Exact cloud platform/region, runtime and attestations not evidenced.</x:v>
      </x:c>
    </x:row>
    <x:row r="10">
      <x:c r="A10" s="40" t="str">
        <x:v>AIBOM-AI001-C07</x:v>
      </x:c>
      <x:c r="B10" s="40" t="str">
        <x:v>AI-001</x:v>
      </x:c>
      <x:c r="C10" s="40" t="str">
        <x:v>DuckDesign AI</x:v>
      </x:c>
      <x:c r="D10" s="40" t="str">
        <x:v>Configuration</x:v>
      </x:c>
      <x:c r="E10" s="40" t="str">
        <x:v>Engineering prompts / guardrails</x:v>
      </x:c>
      <x:c r="F10" s="40" t="str">
        <x:v>System instructions and design-use controls</x:v>
      </x:c>
      <x:c r="G10" s="40" t="str">
        <x:v>TBD</x:v>
      </x:c>
      <x:c r="H10" s="40" t="str">
        <x:v>Duckworks</x:v>
      </x:c>
      <x:c r="I10" s="40" t="str">
        <x:v>Application configuration</x:v>
      </x:c>
      <x:c r="J10" s="40" t="str">
        <x:v>Internal</x:v>
      </x:c>
      <x:c r="K10" s="40" t="str">
        <x:v>TBD</x:v>
      </x:c>
      <x:c r="L10" s="40" t="str">
        <x:v>Governance baseline</x:v>
      </x:c>
      <x:c r="M10" s="40" t="str">
        <x:v>TBD</x:v>
      </x:c>
      <x:c r="N10" s="40" t="str">
        <x:v>Prompt/configuration version and hashes to be captured.</x:v>
      </x:c>
    </x:row>
    <x:row r="11">
      <x:c r="A11" s="40" t="str">
        <x:v>AIBOM-AI002-C01</x:v>
      </x:c>
      <x:c r="B11" s="40" t="str">
        <x:v>AI-002</x:v>
      </x:c>
      <x:c r="C11" s="40" t="str">
        <x:v>QuackBot</x:v>
      </x:c>
      <x:c r="D11" s="40" t="str">
        <x:v>Application</x:v>
      </x:c>
      <x:c r="E11" s="40" t="str">
        <x:v>QuackBot</x:v>
      </x:c>
      <x:c r="F11" s="40" t="str">
        <x:v>Customer support application</x:v>
      </x:c>
      <x:c r="G11" s="40" t="str">
        <x:v>Dev-0.4</x:v>
      </x:c>
      <x:c r="H11" s="40" t="str">
        <x:v>Duckworks + fictional SaaS provider</x:v>
      </x:c>
      <x:c r="I11" s="40" t="str">
        <x:v>EU-hosted SaaS</x:v>
      </x:c>
      <x:c r="J11" s="40" t="str">
        <x:v>TBD</x:v>
      </x:c>
      <x:c r="K11" s="40" t="str">
        <x:v>TBD</x:v>
      </x:c>
      <x:c r="L11" s="40" t="str">
        <x:v>Asset Inventory</x:v>
      </x:c>
      <x:c r="M11" s="40" t="str">
        <x:v>Partial</x:v>
      </x:c>
      <x:c r="N11" s="40" t="str">
        <x:v>System version known; detailed application package not evidenced.</x:v>
      </x:c>
    </x:row>
    <x:row r="12">
      <x:c r="A12" s="40" t="str">
        <x:v>AIBOM-AI002-C02</x:v>
      </x:c>
      <x:c r="B12" s="40" t="str">
        <x:v>AI-002</x:v>
      </x:c>
      <x:c r="C12" s="40" t="str">
        <x:v>QuackBot</x:v>
      </x:c>
      <x:c r="D12" s="40" t="str">
        <x:v>AI/ML Model</x:v>
      </x:c>
      <x:c r="E12" s="40" t="str">
        <x:v>Underlying LLM</x:v>
      </x:c>
      <x:c r="F12" s="40" t="str">
        <x:v>Natural-language generation</x:v>
      </x:c>
      <x:c r="G12" s="40" t="str">
        <x:v>TBD</x:v>
      </x:c>
      <x:c r="H12" s="40" t="str">
        <x:v>Fictional SaaS LLM provider</x:v>
      </x:c>
      <x:c r="I12" s="40" t="str">
        <x:v>EU-hosted SaaS</x:v>
      </x:c>
      <x:c r="J12" s="40" t="str">
        <x:v>TBD</x:v>
      </x:c>
      <x:c r="K12" s="40" t="str">
        <x:v>TBD</x:v>
      </x:c>
      <x:c r="L12" s="40" t="str">
        <x:v>Asset Inventory</x:v>
      </x:c>
      <x:c r="M12" s="40" t="str">
        <x:v>TBD</x:v>
      </x:c>
      <x:c r="N12" s="40" t="str">
        <x:v>Exact model, version/revision, license and model card not evidenced.</x:v>
      </x:c>
    </x:row>
    <x:row r="13">
      <x:c r="A13" s="40" t="str">
        <x:v>AIBOM-AI002-C03</x:v>
      </x:c>
      <x:c r="B13" s="40" t="str">
        <x:v>AI-002</x:v>
      </x:c>
      <x:c r="C13" s="40" t="str">
        <x:v>QuackBot</x:v>
      </x:c>
      <x:c r="D13" s="40" t="str">
        <x:v>Software Component</x:v>
      </x:c>
      <x:c r="E13" s="40" t="str">
        <x:v>RAG orchestration</x:v>
      </x:c>
      <x:c r="F13" s="40" t="str">
        <x:v>Retrieval and grounding workflow</x:v>
      </x:c>
      <x:c r="G13" s="40" t="str">
        <x:v>TBD</x:v>
      </x:c>
      <x:c r="H13" s="40" t="str">
        <x:v>Duckworks / provider</x:v>
      </x:c>
      <x:c r="I13" s="40" t="str">
        <x:v>EU-hosted SaaS</x:v>
      </x:c>
      <x:c r="J13" s="40" t="str">
        <x:v>TBD</x:v>
      </x:c>
      <x:c r="K13" s="40" t="str">
        <x:v>TBD</x:v>
      </x:c>
      <x:c r="L13" s="40" t="str">
        <x:v>Asset Inventory</x:v>
      </x:c>
      <x:c r="M13" s="40" t="str">
        <x:v>Partial</x:v>
      </x:c>
      <x:c r="N13" s="40" t="str">
        <x:v>RAG is known; implementation/library/version not evidenced.</x:v>
      </x:c>
    </x:row>
    <x:row r="14">
      <x:c r="A14" s="40" t="str">
        <x:v>AIBOM-AI002-C04</x:v>
      </x:c>
      <x:c r="B14" s="40" t="str">
        <x:v>AI-002</x:v>
      </x:c>
      <x:c r="C14" s="40" t="str">
        <x:v>QuackBot</x:v>
      </x:c>
      <x:c r="D14" s="40" t="str">
        <x:v>Data Store</x:v>
      </x:c>
      <x:c r="E14" s="40" t="str">
        <x:v>Retrieval index / vector store</x:v>
      </x:c>
      <x:c r="F14" s="40" t="str">
        <x:v>Indexes approved support knowledge</x:v>
      </x:c>
      <x:c r="G14" s="40" t="str">
        <x:v>TBD</x:v>
      </x:c>
      <x:c r="H14" s="40" t="str">
        <x:v>TBD</x:v>
      </x:c>
      <x:c r="I14" s="40" t="str">
        <x:v>EU</x:v>
      </x:c>
      <x:c r="J14" s="40" t="str">
        <x:v>TBD</x:v>
      </x:c>
      <x:c r="K14" s="40" t="str">
        <x:v>TBD</x:v>
      </x:c>
      <x:c r="L14" s="40" t="str">
        <x:v>RAG design requirement</x:v>
      </x:c>
      <x:c r="M14" s="40" t="str">
        <x:v>TBD</x:v>
      </x:c>
      <x:c r="N14" s="40" t="str">
        <x:v>Technology and exact location require architecture evidence.</x:v>
      </x:c>
    </x:row>
    <x:row r="15">
      <x:c r="A15" s="40" t="str">
        <x:v>AIBOM-AI002-C05</x:v>
      </x:c>
      <x:c r="B15" s="40" t="str">
        <x:v>AI-002</x:v>
      </x:c>
      <x:c r="C15" s="40" t="str">
        <x:v>QuackBot</x:v>
      </x:c>
      <x:c r="D15" s="40" t="str">
        <x:v>Integration</x:v>
      </x:c>
      <x:c r="E15" s="40" t="str">
        <x:v>CRM</x:v>
      </x:c>
      <x:c r="F15" s="40" t="str">
        <x:v>Customer case/context integration</x:v>
      </x:c>
      <x:c r="G15" s="40" t="str">
        <x:v>TBD</x:v>
      </x:c>
      <x:c r="H15" s="40" t="str">
        <x:v>TBD</x:v>
      </x:c>
      <x:c r="I15" s="40" t="str">
        <x:v>Enterprise</x:v>
      </x:c>
      <x:c r="J15" s="40" t="str">
        <x:v>TBD</x:v>
      </x:c>
      <x:c r="K15" s="40" t="str">
        <x:v>TBD</x:v>
      </x:c>
      <x:c r="L15" s="40" t="str">
        <x:v>Asset Inventory</x:v>
      </x:c>
      <x:c r="M15" s="40" t="str">
        <x:v>Partial</x:v>
      </x:c>
      <x:c r="N15" s="40" t="str">
        <x:v>Integration named; product/version/API not evidenced.</x:v>
      </x:c>
    </x:row>
    <x:row r="16">
      <x:c r="A16" s="40" t="str">
        <x:v>AIBOM-AI002-C06</x:v>
      </x:c>
      <x:c r="B16" s="40" t="str">
        <x:v>AI-002</x:v>
      </x:c>
      <x:c r="C16" s="40" t="str">
        <x:v>QuackBot</x:v>
      </x:c>
      <x:c r="D16" s="40" t="str">
        <x:v>Integration</x:v>
      </x:c>
      <x:c r="E16" s="40" t="str">
        <x:v>Support knowledge base</x:v>
      </x:c>
      <x:c r="F16" s="40" t="str">
        <x:v>Approved support content source</x:v>
      </x:c>
      <x:c r="G16" s="40" t="str">
        <x:v>TBD</x:v>
      </x:c>
      <x:c r="H16" s="40" t="str">
        <x:v>Duckworks</x:v>
      </x:c>
      <x:c r="I16" s="40" t="str">
        <x:v>Enterprise</x:v>
      </x:c>
      <x:c r="J16" s="40" t="str">
        <x:v>Internal</x:v>
      </x:c>
      <x:c r="K16" s="40" t="str">
        <x:v>TBD</x:v>
      </x:c>
      <x:c r="L16" s="40" t="str">
        <x:v>Asset Inventory</x:v>
      </x:c>
      <x:c r="M16" s="40" t="str">
        <x:v>Partial</x:v>
      </x:c>
      <x:c r="N16" s="40" t="str">
        <x:v>Source system/version and corpus manifest required.</x:v>
      </x:c>
    </x:row>
    <x:row r="17">
      <x:c r="A17" s="40" t="str">
        <x:v>AIBOM-AI002-C07</x:v>
      </x:c>
      <x:c r="B17" s="40" t="str">
        <x:v>AI-002</x:v>
      </x:c>
      <x:c r="C17" s="40" t="str">
        <x:v>QuackBot</x:v>
      </x:c>
      <x:c r="D17" s="40" t="str">
        <x:v>Integration</x:v>
      </x:c>
      <x:c r="E17" s="40" t="str">
        <x:v>Identity service</x:v>
      </x:c>
      <x:c r="F17" s="40" t="str">
        <x:v>Authentication / access context</x:v>
      </x:c>
      <x:c r="G17" s="40" t="str">
        <x:v>TBD</x:v>
      </x:c>
      <x:c r="H17" s="40" t="str">
        <x:v>Duckworks</x:v>
      </x:c>
      <x:c r="I17" s="40" t="str">
        <x:v>Enterprise</x:v>
      </x:c>
      <x:c r="J17" s="40" t="str">
        <x:v>TBD</x:v>
      </x:c>
      <x:c r="K17" s="40" t="str">
        <x:v>TBD</x:v>
      </x:c>
      <x:c r="L17" s="40" t="str">
        <x:v>Asset Inventory</x:v>
      </x:c>
      <x:c r="M17" s="40" t="str">
        <x:v>Partial</x:v>
      </x:c>
      <x:c r="N17" s="40" t="str">
        <x:v>Service/version and claims passed to application not evidenced.</x:v>
      </x:c>
    </x:row>
    <x:row r="18">
      <x:c r="A18" s="40" t="str">
        <x:v>AIBOM-AI002-C08</x:v>
      </x:c>
      <x:c r="B18" s="40" t="str">
        <x:v>AI-002</x:v>
      </x:c>
      <x:c r="C18" s="40" t="str">
        <x:v>QuackBot</x:v>
      </x:c>
      <x:c r="D18" s="40" t="str">
        <x:v>Configuration</x:v>
      </x:c>
      <x:c r="E18" s="40" t="str">
        <x:v>Safety filters / escalation rules</x:v>
      </x:c>
      <x:c r="F18" s="40" t="str">
        <x:v>Content boundaries and human handoff</x:v>
      </x:c>
      <x:c r="G18" s="40" t="str">
        <x:v>TBD</x:v>
      </x:c>
      <x:c r="H18" s="40" t="str">
        <x:v>Duckworks + provider</x:v>
      </x:c>
      <x:c r="I18" s="40" t="str">
        <x:v>Application configuration</x:v>
      </x:c>
      <x:c r="J18" s="40" t="str">
        <x:v>Internal</x:v>
      </x:c>
      <x:c r="K18" s="40" t="str">
        <x:v>TBD</x:v>
      </x:c>
      <x:c r="L18" s="40" t="str">
        <x:v>Control baseline</x:v>
      </x:c>
      <x:c r="M18" s="40" t="str">
        <x:v>Partial</x:v>
      </x:c>
      <x:c r="N18" s="40" t="str">
        <x:v>Controls described; exact policy/config versions require evidence.</x:v>
      </x:c>
    </x:row>
    <x:row r="19">
      <x:c r="A19" s="40" t="str">
        <x:v>AIBOM-AI003-C01</x:v>
      </x:c>
      <x:c r="B19" s="40" t="str">
        <x:v>AI-003</x:v>
      </x:c>
      <x:c r="C19" s="40" t="str">
        <x:v>FeatherForecast</x:v>
      </x:c>
      <x:c r="D19" s="40" t="str">
        <x:v>Application</x:v>
      </x:c>
      <x:c r="E19" s="40" t="str">
        <x:v>FeatherForecast</x:v>
      </x:c>
      <x:c r="F19" s="40" t="str">
        <x:v>Supply-chain forecasting service</x:v>
      </x:c>
      <x:c r="G19" s="40" t="str">
        <x:v>2.3.1</x:v>
      </x:c>
      <x:c r="H19" s="40" t="str">
        <x:v>Duckworks</x:v>
      </x:c>
      <x:c r="I19" s="40" t="str">
        <x:v>Private cloud</x:v>
      </x:c>
      <x:c r="J19" s="40" t="str">
        <x:v>Internal</x:v>
      </x:c>
      <x:c r="K19" s="40" t="str">
        <x:v>TBD</x:v>
      </x:c>
      <x:c r="L19" s="40" t="str">
        <x:v>Asset Inventory</x:v>
      </x:c>
      <x:c r="M19" s="40" t="str">
        <x:v>Known</x:v>
      </x:c>
      <x:c r="N19" s="40" t="str">
        <x:v>Internal production system; exact build/package identifiers still optional evidence gap.</x:v>
      </x:c>
    </x:row>
    <x:row r="20">
      <x:c r="A20" s="40" t="str">
        <x:v>AIBOM-AI003-C02</x:v>
      </x:c>
      <x:c r="B20" s="40" t="str">
        <x:v>AI-003</x:v>
      </x:c>
      <x:c r="C20" s="40" t="str">
        <x:v>FeatherForecast</x:v>
      </x:c>
      <x:c r="D20" s="40" t="str">
        <x:v>AI/ML Model</x:v>
      </x:c>
      <x:c r="E20" s="40" t="str">
        <x:v>Gradient-boosting model</x:v>
      </x:c>
      <x:c r="F20" s="40" t="str">
        <x:v>Forecasting ensemble component</x:v>
      </x:c>
      <x:c r="G20" s="40" t="str">
        <x:v>TBD</x:v>
      </x:c>
      <x:c r="H20" s="40" t="str">
        <x:v>Duckworks</x:v>
      </x:c>
      <x:c r="I20" s="40" t="str">
        <x:v>Private cloud</x:v>
      </x:c>
      <x:c r="J20" s="40" t="str">
        <x:v>Internal</x:v>
      </x:c>
      <x:c r="K20" s="40" t="str">
        <x:v>TBD</x:v>
      </x:c>
      <x:c r="L20" s="40" t="str">
        <x:v>Asset Inventory</x:v>
      </x:c>
      <x:c r="M20" s="40" t="str">
        <x:v>Partial</x:v>
      </x:c>
      <x:c r="N20" s="40" t="str">
        <x:v>Model family known; exact implementation/framework/version not evidenced.</x:v>
      </x:c>
    </x:row>
    <x:row r="21">
      <x:c r="A21" s="40" t="str">
        <x:v>AIBOM-AI003-C03</x:v>
      </x:c>
      <x:c r="B21" s="40" t="str">
        <x:v>AI-003</x:v>
      </x:c>
      <x:c r="C21" s="40" t="str">
        <x:v>FeatherForecast</x:v>
      </x:c>
      <x:c r="D21" s="40" t="str">
        <x:v>AI/ML Model</x:v>
      </x:c>
      <x:c r="E21" s="40" t="str">
        <x:v>Time-series ensemble component</x:v>
      </x:c>
      <x:c r="F21" s="40" t="str">
        <x:v>Forecasting ensemble component</x:v>
      </x:c>
      <x:c r="G21" s="40" t="str">
        <x:v>TBD</x:v>
      </x:c>
      <x:c r="H21" s="40" t="str">
        <x:v>Duckworks</x:v>
      </x:c>
      <x:c r="I21" s="40" t="str">
        <x:v>Private cloud</x:v>
      </x:c>
      <x:c r="J21" s="40" t="str">
        <x:v>Internal</x:v>
      </x:c>
      <x:c r="K21" s="40" t="str">
        <x:v>TBD</x:v>
      </x:c>
      <x:c r="L21" s="40" t="str">
        <x:v>Asset Inventory</x:v>
      </x:c>
      <x:c r="M21" s="40" t="str">
        <x:v>Partial</x:v>
      </x:c>
      <x:c r="N21" s="40" t="str">
        <x:v>Exact algorithms/framework versions not evidenced.</x:v>
      </x:c>
    </x:row>
    <x:row r="22">
      <x:c r="A22" s="40" t="str">
        <x:v>AIBOM-AI003-C04</x:v>
      </x:c>
      <x:c r="B22" s="40" t="str">
        <x:v>AI-003</x:v>
      </x:c>
      <x:c r="C22" s="40" t="str">
        <x:v>FeatherForecast</x:v>
      </x:c>
      <x:c r="D22" s="40" t="str">
        <x:v>Software Component</x:v>
      </x:c>
      <x:c r="E22" s="40" t="str">
        <x:v>Feature / data preparation pipeline</x:v>
      </x:c>
      <x:c r="F22" s="40" t="str">
        <x:v>Transforms operational inputs</x:v>
      </x:c>
      <x:c r="G22" s="40" t="str">
        <x:v>TBD</x:v>
      </x:c>
      <x:c r="H22" s="40" t="str">
        <x:v>Duckworks</x:v>
      </x:c>
      <x:c r="I22" s="40" t="str">
        <x:v>Private cloud</x:v>
      </x:c>
      <x:c r="J22" s="40" t="str">
        <x:v>Internal</x:v>
      </x:c>
      <x:c r="K22" s="40" t="str">
        <x:v>TBD</x:v>
      </x:c>
      <x:c r="L22" s="40" t="str">
        <x:v>Data management requirement</x:v>
      </x:c>
      <x:c r="M22" s="40" t="str">
        <x:v>TBD</x:v>
      </x:c>
      <x:c r="N22" s="40" t="str">
        <x:v>Pipeline components and versions require technical evidence.</x:v>
      </x:c>
    </x:row>
    <x:row r="23">
      <x:c r="A23" s="40" t="str">
        <x:v>AIBOM-AI003-C05</x:v>
      </x:c>
      <x:c r="B23" s="40" t="str">
        <x:v>AI-003</x:v>
      </x:c>
      <x:c r="C23" s="40" t="str">
        <x:v>FeatherForecast</x:v>
      </x:c>
      <x:c r="D23" s="40" t="str">
        <x:v>Integration</x:v>
      </x:c>
      <x:c r="E23" s="40" t="str">
        <x:v>ERP</x:v>
      </x:c>
      <x:c r="F23" s="40" t="str">
        <x:v>Sales / supply planning input</x:v>
      </x:c>
      <x:c r="G23" s="40" t="str">
        <x:v>TBD</x:v>
      </x:c>
      <x:c r="H23" s="40" t="str">
        <x:v>Duckworks / ERP supplier TBD</x:v>
      </x:c>
      <x:c r="I23" s="40" t="str">
        <x:v>Enterprise</x:v>
      </x:c>
      <x:c r="J23" s="40" t="str">
        <x:v>TBD</x:v>
      </x:c>
      <x:c r="K23" s="40" t="str">
        <x:v>TBD</x:v>
      </x:c>
      <x:c r="L23" s="40" t="str">
        <x:v>Asset Inventory</x:v>
      </x:c>
      <x:c r="M23" s="40" t="str">
        <x:v>Partial</x:v>
      </x:c>
      <x:c r="N23" s="40" t="str">
        <x:v>Product/version/API not evidenced.</x:v>
      </x:c>
    </x:row>
    <x:row r="24">
      <x:c r="A24" s="40" t="str">
        <x:v>AIBOM-AI003-C06</x:v>
      </x:c>
      <x:c r="B24" s="40" t="str">
        <x:v>AI-003</x:v>
      </x:c>
      <x:c r="C24" s="40" t="str">
        <x:v>FeatherForecast</x:v>
      </x:c>
      <x:c r="D24" s="40" t="str">
        <x:v>Integration</x:v>
      </x:c>
      <x:c r="E24" s="40" t="str">
        <x:v>Warehouse management system</x:v>
      </x:c>
      <x:c r="F24" s="40" t="str">
        <x:v>Inventory / shipment input</x:v>
      </x:c>
      <x:c r="G24" s="40" t="str">
        <x:v>TBD</x:v>
      </x:c>
      <x:c r="H24" s="40" t="str">
        <x:v>Duckworks / supplier TBD</x:v>
      </x:c>
      <x:c r="I24" s="40" t="str">
        <x:v>Enterprise</x:v>
      </x:c>
      <x:c r="J24" s="40" t="str">
        <x:v>TBD</x:v>
      </x:c>
      <x:c r="K24" s="40" t="str">
        <x:v>TBD</x:v>
      </x:c>
      <x:c r="L24" s="40" t="str">
        <x:v>Asset Inventory</x:v>
      </x:c>
      <x:c r="M24" s="40" t="str">
        <x:v>Partial</x:v>
      </x:c>
      <x:c r="N24" s="40" t="str">
        <x:v>Product/version/API not evidenced.</x:v>
      </x:c>
    </x:row>
    <x:row r="25">
      <x:c r="A25" s="40" t="str">
        <x:v>AIBOM-AI003-C07</x:v>
      </x:c>
      <x:c r="B25" s="40" t="str">
        <x:v>AI-003</x:v>
      </x:c>
      <x:c r="C25" s="40" t="str">
        <x:v>FeatherForecast</x:v>
      </x:c>
      <x:c r="D25" s="40" t="str">
        <x:v>Integration</x:v>
      </x:c>
      <x:c r="E25" s="40" t="str">
        <x:v>Planning platform</x:v>
      </x:c>
      <x:c r="F25" s="40" t="str">
        <x:v>Forecast consumption / planning output</x:v>
      </x:c>
      <x:c r="G25" s="40" t="str">
        <x:v>TBD</x:v>
      </x:c>
      <x:c r="H25" s="40" t="str">
        <x:v>Duckworks / supplier TBD</x:v>
      </x:c>
      <x:c r="I25" s="40" t="str">
        <x:v>Enterprise</x:v>
      </x:c>
      <x:c r="J25" s="40" t="str">
        <x:v>TBD</x:v>
      </x:c>
      <x:c r="K25" s="40" t="str">
        <x:v>TBD</x:v>
      </x:c>
      <x:c r="L25" s="40" t="str">
        <x:v>Asset Inventory</x:v>
      </x:c>
      <x:c r="M25" s="40" t="str">
        <x:v>Partial</x:v>
      </x:c>
      <x:c r="N25" s="40" t="str">
        <x:v>Product/version/API not evidenced.</x:v>
      </x:c>
    </x:row>
    <x:row r="26">
      <x:c r="A26" s="40" t="str">
        <x:v>AIBOM-AI003-C08</x:v>
      </x:c>
      <x:c r="B26" s="40" t="str">
        <x:v>AI-003</x:v>
      </x:c>
      <x:c r="C26" s="40" t="str">
        <x:v>FeatherForecast</x:v>
      </x:c>
      <x:c r="D26" s="40" t="str">
        <x:v>Infrastructure</x:v>
      </x:c>
      <x:c r="E26" s="40" t="str">
        <x:v>Private cloud runtime</x:v>
      </x:c>
      <x:c r="F26" s="40" t="str">
        <x:v>Model hosting / scheduled inference</x:v>
      </x:c>
      <x:c r="G26" s="40" t="str">
        <x:v>TBD</x:v>
      </x:c>
      <x:c r="H26" s="40" t="str">
        <x:v>Duckworks</x:v>
      </x:c>
      <x:c r="I26" s="40" t="str">
        <x:v>EU</x:v>
      </x:c>
      <x:c r="J26" s="40" t="str">
        <x:v>Internal</x:v>
      </x:c>
      <x:c r="K26" s="40" t="str">
        <x:v>TBD</x:v>
      </x:c>
      <x:c r="L26" s="40" t="str">
        <x:v>Asset Inventory</x:v>
      </x:c>
      <x:c r="M26" s="40" t="str">
        <x:v>Partial</x:v>
      </x:c>
      <x:c r="N26" s="40" t="str">
        <x:v>Exact platform/runtime not evidenced.</x:v>
      </x:c>
    </x:row>
    <x:row r="27">
      <x:c r="A27" s="40" t="str">
        <x:v>AIBOM-AI004-C01</x:v>
      </x:c>
      <x:c r="B27" s="40" t="str">
        <x:v>AI-004</x:v>
      </x:c>
      <x:c r="C27" s="40" t="str">
        <x:v>WingInspect Vision</x:v>
      </x:c>
      <x:c r="D27" s="40" t="str">
        <x:v>Application</x:v>
      </x:c>
      <x:c r="E27" s="40" t="str">
        <x:v>WingInspect Vision</x:v>
      </x:c>
      <x:c r="F27" s="40" t="str">
        <x:v>Manufacturing defect-detection application</x:v>
      </x:c>
      <x:c r="G27" s="40" t="str">
        <x:v>Pilot-1.1</x:v>
      </x:c>
      <x:c r="H27" s="40" t="str">
        <x:v>Duckworks</x:v>
      </x:c>
      <x:c r="I27" s="40" t="str">
        <x:v>On-premise edge + private cloud</x:v>
      </x:c>
      <x:c r="J27" s="40" t="str">
        <x:v>Internal</x:v>
      </x:c>
      <x:c r="K27" s="40" t="str">
        <x:v>TBD</x:v>
      </x:c>
      <x:c r="L27" s="40" t="str">
        <x:v>Asset Inventory</x:v>
      </x:c>
      <x:c r="M27" s="40" t="str">
        <x:v>Known</x:v>
      </x:c>
      <x:c r="N27" s="40" t="str">
        <x:v>Pilot system/version known.</x:v>
      </x:c>
    </x:row>
    <x:row r="28">
      <x:c r="A28" s="40" t="str">
        <x:v>AIBOM-AI004-C02</x:v>
      </x:c>
      <x:c r="B28" s="40" t="str">
        <x:v>AI-004</x:v>
      </x:c>
      <x:c r="C28" s="40" t="str">
        <x:v>WingInspect Vision</x:v>
      </x:c>
      <x:c r="D28" s="40" t="str">
        <x:v>AI/ML Model</x:v>
      </x:c>
      <x:c r="E28" s="40" t="str">
        <x:v>Vision classifier / object detector</x:v>
      </x:c>
      <x:c r="F28" s="40" t="str">
        <x:v>Defect detection</x:v>
      </x:c>
      <x:c r="G28" s="40" t="str">
        <x:v>TBD</x:v>
      </x:c>
      <x:c r="H28" s="40" t="str">
        <x:v>Duckworks</x:v>
      </x:c>
      <x:c r="I28" s="40" t="str">
        <x:v>Edge / private cloud</x:v>
      </x:c>
      <x:c r="J28" s="40" t="str">
        <x:v>Internal</x:v>
      </x:c>
      <x:c r="K28" s="40" t="str">
        <x:v>TBD</x:v>
      </x:c>
      <x:c r="L28" s="40" t="str">
        <x:v>Asset Inventory</x:v>
      </x:c>
      <x:c r="M28" s="40" t="str">
        <x:v>Partial</x:v>
      </x:c>
      <x:c r="N28" s="40" t="str">
        <x:v>Model family known; exact architecture/framework/hash not evidenced.</x:v>
      </x:c>
    </x:row>
    <x:row r="29">
      <x:c r="A29" s="40" t="str">
        <x:v>AIBOM-AI004-C03</x:v>
      </x:c>
      <x:c r="B29" s="40" t="str">
        <x:v>AI-004</x:v>
      </x:c>
      <x:c r="C29" s="40" t="str">
        <x:v>WingInspect Vision</x:v>
      </x:c>
      <x:c r="D29" s="40" t="str">
        <x:v>Infrastructure</x:v>
      </x:c>
      <x:c r="E29" s="40" t="str">
        <x:v>Edge inference runtime</x:v>
      </x:c>
      <x:c r="F29" s="40" t="str">
        <x:v>On-line manufacturing inference</x:v>
      </x:c>
      <x:c r="G29" s="40" t="str">
        <x:v>TBD</x:v>
      </x:c>
      <x:c r="H29" s="40" t="str">
        <x:v>Duckworks</x:v>
      </x:c>
      <x:c r="I29" s="40" t="str">
        <x:v>On-premise edge</x:v>
      </x:c>
      <x:c r="J29" s="40" t="str">
        <x:v>Internal</x:v>
      </x:c>
      <x:c r="K29" s="40" t="str">
        <x:v>TBD</x:v>
      </x:c>
      <x:c r="L29" s="40" t="str">
        <x:v>Asset Inventory</x:v>
      </x:c>
      <x:c r="M29" s="40" t="str">
        <x:v>TBD</x:v>
      </x:c>
      <x:c r="N29" s="40" t="str">
        <x:v>Runtime/container/OS/accelerator versions not evidenced.</x:v>
      </x:c>
    </x:row>
    <x:row r="30">
      <x:c r="A30" s="40" t="str">
        <x:v>AIBOM-AI004-C04</x:v>
      </x:c>
      <x:c r="B30" s="40" t="str">
        <x:v>AI-004</x:v>
      </x:c>
      <x:c r="C30" s="40" t="str">
        <x:v>WingInspect Vision</x:v>
      </x:c>
      <x:c r="D30" s="40" t="str">
        <x:v>Infrastructure</x:v>
      </x:c>
      <x:c r="E30" s="40" t="str">
        <x:v>Private cloud environment</x:v>
      </x:c>
      <x:c r="F30" s="40" t="str">
        <x:v>Model management / analytics</x:v>
      </x:c>
      <x:c r="G30" s="40" t="str">
        <x:v>TBD</x:v>
      </x:c>
      <x:c r="H30" s="40" t="str">
        <x:v>Duckworks</x:v>
      </x:c>
      <x:c r="I30" s="40" t="str">
        <x:v>EU</x:v>
      </x:c>
      <x:c r="J30" s="40" t="str">
        <x:v>Internal</x:v>
      </x:c>
      <x:c r="K30" s="40" t="str">
        <x:v>TBD</x:v>
      </x:c>
      <x:c r="L30" s="40" t="str">
        <x:v>Asset Inventory</x:v>
      </x:c>
      <x:c r="M30" s="40" t="str">
        <x:v>Partial</x:v>
      </x:c>
      <x:c r="N30" s="40" t="str">
        <x:v>Exact platform not evidenced.</x:v>
      </x:c>
    </x:row>
    <x:row r="31">
      <x:c r="A31" s="40" t="str">
        <x:v>AIBOM-AI004-C05</x:v>
      </x:c>
      <x:c r="B31" s="40" t="str">
        <x:v>AI-004</x:v>
      </x:c>
      <x:c r="C31" s="40" t="str">
        <x:v>WingInspect Vision</x:v>
      </x:c>
      <x:c r="D31" s="40" t="str">
        <x:v>Integration</x:v>
      </x:c>
      <x:c r="E31" s="40" t="str">
        <x:v>Production cameras</x:v>
      </x:c>
      <x:c r="F31" s="40" t="str">
        <x:v>Image acquisition</x:v>
      </x:c>
      <x:c r="G31" s="40" t="str">
        <x:v>TBD</x:v>
      </x:c>
      <x:c r="H31" s="40" t="str">
        <x:v>Duckworks / camera supplier TBD</x:v>
      </x:c>
      <x:c r="I31" s="40" t="str">
        <x:v>Manufacturing line</x:v>
      </x:c>
      <x:c r="J31" s="40" t="str">
        <x:v>TBD</x:v>
      </x:c>
      <x:c r="K31" s="40" t="str">
        <x:v>TBD</x:v>
      </x:c>
      <x:c r="L31" s="40" t="str">
        <x:v>Asset Inventory</x:v>
      </x:c>
      <x:c r="M31" s="40" t="str">
        <x:v>Partial</x:v>
      </x:c>
      <x:c r="N31" s="40" t="str">
        <x:v>Camera models/firmware/calibration metadata not evidenced.</x:v>
      </x:c>
    </x:row>
    <x:row r="32">
      <x:c r="A32" s="40" t="str">
        <x:v>AIBOM-AI004-C06</x:v>
      </x:c>
      <x:c r="B32" s="40" t="str">
        <x:v>AI-004</x:v>
      </x:c>
      <x:c r="C32" s="40" t="str">
        <x:v>WingInspect Vision</x:v>
      </x:c>
      <x:c r="D32" s="40" t="str">
        <x:v>Integration</x:v>
      </x:c>
      <x:c r="E32" s="40" t="str">
        <x:v>Quality management system</x:v>
      </x:c>
      <x:c r="F32" s="40" t="str">
        <x:v>Inspection results / quality workflow</x:v>
      </x:c>
      <x:c r="G32" s="40" t="str">
        <x:v>TBD</x:v>
      </x:c>
      <x:c r="H32" s="40" t="str">
        <x:v>Duckworks / supplier TBD</x:v>
      </x:c>
      <x:c r="I32" s="40" t="str">
        <x:v>Enterprise</x:v>
      </x:c>
      <x:c r="J32" s="40" t="str">
        <x:v>TBD</x:v>
      </x:c>
      <x:c r="K32" s="40" t="str">
        <x:v>TBD</x:v>
      </x:c>
      <x:c r="L32" s="40" t="str">
        <x:v>Asset Inventory</x:v>
      </x:c>
      <x:c r="M32" s="40" t="str">
        <x:v>Partial</x:v>
      </x:c>
      <x:c r="N32" s="40" t="str">
        <x:v>Product/version/API not evidenced.</x:v>
      </x:c>
    </x:row>
    <x:row r="33">
      <x:c r="A33" s="40" t="str">
        <x:v>AIBOM-AI004-C07</x:v>
      </x:c>
      <x:c r="B33" s="40" t="str">
        <x:v>AI-004</x:v>
      </x:c>
      <x:c r="C33" s="40" t="str">
        <x:v>WingInspect Vision</x:v>
      </x:c>
      <x:c r="D33" s="40" t="str">
        <x:v>Software Component</x:v>
      </x:c>
      <x:c r="E33" s="40" t="str">
        <x:v>Image preprocessing pipeline</x:v>
      </x:c>
      <x:c r="F33" s="40" t="str">
        <x:v>Prepares production images</x:v>
      </x:c>
      <x:c r="G33" s="40" t="str">
        <x:v>TBD</x:v>
      </x:c>
      <x:c r="H33" s="40" t="str">
        <x:v>Duckworks</x:v>
      </x:c>
      <x:c r="I33" s="40" t="str">
        <x:v>Edge / private cloud</x:v>
      </x:c>
      <x:c r="J33" s="40" t="str">
        <x:v>Internal</x:v>
      </x:c>
      <x:c r="K33" s="40" t="str">
        <x:v>TBD</x:v>
      </x:c>
      <x:c r="L33" s="40" t="str">
        <x:v>Model governance requirement</x:v>
      </x:c>
      <x:c r="M33" s="40" t="str">
        <x:v>TBD</x:v>
      </x:c>
      <x:c r="N33" s="40" t="str">
        <x:v>Transforms/libraries/version not evidenced.</x:v>
      </x:c>
    </x:row>
    <x:row r="34">
      <x:c r="A34" s="40" t="str">
        <x:v>AIBOM-AI004-C08</x:v>
      </x:c>
      <x:c r="B34" s="40" t="str">
        <x:v>AI-004</x:v>
      </x:c>
      <x:c r="C34" s="40" t="str">
        <x:v>WingInspect Vision</x:v>
      </x:c>
      <x:c r="D34" s="40" t="str">
        <x:v>Software Component</x:v>
      </x:c>
      <x:c r="E34" s="40" t="str">
        <x:v>Performance monitoring pipeline</x:v>
      </x:c>
      <x:c r="F34" s="40" t="str">
        <x:v>Tracks false positives/negatives and data quality</x:v>
      </x:c>
      <x:c r="G34" s="40" t="str">
        <x:v>TBD</x:v>
      </x:c>
      <x:c r="H34" s="40" t="str">
        <x:v>Duckworks</x:v>
      </x:c>
      <x:c r="I34" s="40" t="str">
        <x:v>Private cloud</x:v>
      </x:c>
      <x:c r="J34" s="40" t="str">
        <x:v>Internal</x:v>
      </x:c>
      <x:c r="K34" s="40" t="str">
        <x:v>TBD</x:v>
      </x:c>
      <x:c r="L34" s="40" t="str">
        <x:v>Inventory monitoring baseline</x:v>
      </x:c>
      <x:c r="M34" s="40" t="str">
        <x:v>TBD</x:v>
      </x:c>
      <x:c r="N34" s="40" t="str">
        <x:v>Implementation/version not evidenced.</x:v>
      </x:c>
    </x:row>
    <x:row r="35">
      <x:c r="A35" s="40" t="str">
        <x:v>AIBOM-AI005-C01</x:v>
      </x:c>
      <x:c r="B35" s="40" t="str">
        <x:v>AI-005</x:v>
      </x:c>
      <x:c r="C35" s="40" t="str">
        <x:v>DuckTalent AI</x:v>
      </x:c>
      <x:c r="D35" s="40" t="str">
        <x:v>Application</x:v>
      </x:c>
      <x:c r="E35" s="40" t="str">
        <x:v>DuckTalent AI</x:v>
      </x:c>
      <x:c r="F35" s="40" t="str">
        <x:v>Recruitment screening/ranking application</x:v>
      </x:c>
      <x:c r="G35" s="40" t="str">
        <x:v>Concept</x:v>
      </x:c>
      <x:c r="H35" s="40" t="str">
        <x:v>Duckworks</x:v>
      </x:c>
      <x:c r="I35" s="40" t="str">
        <x:v>TBD</x:v>
      </x:c>
      <x:c r="J35" s="40" t="str">
        <x:v>TBD</x:v>
      </x:c>
      <x:c r="K35" s="40" t="str">
        <x:v>TBD</x:v>
      </x:c>
      <x:c r="L35" s="40" t="str">
        <x:v>Asset Inventory</x:v>
      </x:c>
      <x:c r="M35" s="40" t="str">
        <x:v>Partial</x:v>
      </x:c>
      <x:c r="N35" s="40" t="str">
        <x:v>Concept only; no approved production architecture.</x:v>
      </x:c>
    </x:row>
    <x:row r="36">
      <x:c r="A36" s="40" t="str">
        <x:v>AIBOM-AI005-C02</x:v>
      </x:c>
      <x:c r="B36" s="40" t="str">
        <x:v>AI-005</x:v>
      </x:c>
      <x:c r="C36" s="40" t="str">
        <x:v>DuckTalent AI</x:v>
      </x:c>
      <x:c r="D36" s="40" t="str">
        <x:v>AI/ML Model</x:v>
      </x:c>
      <x:c r="E36" s="40" t="str">
        <x:v>Underlying recruitment model</x:v>
      </x:c>
      <x:c r="F36" s="40" t="str">
        <x:v>Parsing / ranking / recommendation</x:v>
      </x:c>
      <x:c r="G36" s="40" t="str">
        <x:v>TBD</x:v>
      </x:c>
      <x:c r="H36" s="40" t="str">
        <x:v>Vendor not selected</x:v>
      </x:c>
      <x:c r="I36" s="40" t="str">
        <x:v>TBD</x:v>
      </x:c>
      <x:c r="J36" s="40" t="str">
        <x:v>TBD</x:v>
      </x:c>
      <x:c r="K36" s="40" t="str">
        <x:v>TBD</x:v>
      </x:c>
      <x:c r="L36" s="40" t="str">
        <x:v>Asset Inventory</x:v>
      </x:c>
      <x:c r="M36" s="40" t="str">
        <x:v>Unknown</x:v>
      </x:c>
      <x:c r="N36" s="40" t="str">
        <x:v>Provider/model/version/license/model card not selected or evidenced.</x:v>
      </x:c>
    </x:row>
    <x:row r="37">
      <x:c r="A37" s="40" t="str">
        <x:v>AIBOM-AI005-C03</x:v>
      </x:c>
      <x:c r="B37" s="40" t="str">
        <x:v>AI-005</x:v>
      </x:c>
      <x:c r="C37" s="40" t="str">
        <x:v>DuckTalent AI</x:v>
      </x:c>
      <x:c r="D37" s="40" t="str">
        <x:v>Software Component</x:v>
      </x:c>
      <x:c r="E37" s="40" t="str">
        <x:v>Ranking / feature logic</x:v>
      </x:c>
      <x:c r="F37" s="40" t="str">
        <x:v>Candidate comparison and ranking</x:v>
      </x:c>
      <x:c r="G37" s="40" t="str">
        <x:v>TBD</x:v>
      </x:c>
      <x:c r="H37" s="40" t="str">
        <x:v>TBD</x:v>
      </x:c>
      <x:c r="I37" s="40" t="str">
        <x:v>TBD</x:v>
      </x:c>
      <x:c r="J37" s="40" t="str">
        <x:v>TBD</x:v>
      </x:c>
      <x:c r="K37" s="40" t="str">
        <x:v>TBD</x:v>
      </x:c>
      <x:c r="L37" s="40" t="str">
        <x:v>AIA / inventory</x:v>
      </x:c>
      <x:c r="M37" s="40" t="str">
        <x:v>Unknown</x:v>
      </x:c>
      <x:c r="N37" s="40" t="str">
        <x:v>Criteria, weights, features and proxy controls are blocking evidence gaps.</x:v>
      </x:c>
    </x:row>
    <x:row r="38">
      <x:c r="A38" s="40" t="str">
        <x:v>AIBOM-AI005-C04</x:v>
      </x:c>
      <x:c r="B38" s="40" t="str">
        <x:v>AI-005</x:v>
      </x:c>
      <x:c r="C38" s="40" t="str">
        <x:v>DuckTalent AI</x:v>
      </x:c>
      <x:c r="D38" s="40" t="str">
        <x:v>Integration</x:v>
      </x:c>
      <x:c r="E38" s="40" t="str">
        <x:v>ATS</x:v>
      </x:c>
      <x:c r="F38" s="40" t="str">
        <x:v>Applicant records and workflow</x:v>
      </x:c>
      <x:c r="G38" s="40" t="str">
        <x:v>TBD</x:v>
      </x:c>
      <x:c r="H38" s="40" t="str">
        <x:v>Duckworks / ATS supplier TBD</x:v>
      </x:c>
      <x:c r="I38" s="40" t="str">
        <x:v>Enterprise</x:v>
      </x:c>
      <x:c r="J38" s="40" t="str">
        <x:v>TBD</x:v>
      </x:c>
      <x:c r="K38" s="40" t="str">
        <x:v>TBD</x:v>
      </x:c>
      <x:c r="L38" s="40" t="str">
        <x:v>Asset Inventory</x:v>
      </x:c>
      <x:c r="M38" s="40" t="str">
        <x:v>Partial</x:v>
      </x:c>
      <x:c r="N38" s="40" t="str">
        <x:v>System named; product/version/API and data fields not evidenced.</x:v>
      </x:c>
    </x:row>
    <x:row r="39">
      <x:c r="A39" s="40" t="str">
        <x:v>AIBOM-AI005-C05</x:v>
      </x:c>
      <x:c r="B39" s="40" t="str">
        <x:v>AI-005</x:v>
      </x:c>
      <x:c r="C39" s="40" t="str">
        <x:v>DuckTalent AI</x:v>
      </x:c>
      <x:c r="D39" s="40" t="str">
        <x:v>Integration</x:v>
      </x:c>
      <x:c r="E39" s="40" t="str">
        <x:v>HRIS</x:v>
      </x:c>
      <x:c r="F39" s="40" t="str">
        <x:v>HR / internal candidate context</x:v>
      </x:c>
      <x:c r="G39" s="40" t="str">
        <x:v>TBD</x:v>
      </x:c>
      <x:c r="H39" s="40" t="str">
        <x:v>Duckworks / HRIS supplier TBD</x:v>
      </x:c>
      <x:c r="I39" s="40" t="str">
        <x:v>Enterprise</x:v>
      </x:c>
      <x:c r="J39" s="40" t="str">
        <x:v>TBD</x:v>
      </x:c>
      <x:c r="K39" s="40" t="str">
        <x:v>TBD</x:v>
      </x:c>
      <x:c r="L39" s="40" t="str">
        <x:v>Asset Inventory</x:v>
      </x:c>
      <x:c r="M39" s="40" t="str">
        <x:v>Partial</x:v>
      </x:c>
      <x:c r="N39" s="40" t="str">
        <x:v>Integration must be justified; exact scope not approved.</x:v>
      </x:c>
    </x:row>
    <x:row r="40">
      <x:c r="A40" s="40" t="str">
        <x:v>AIBOM-AI005-C06</x:v>
      </x:c>
      <x:c r="B40" s="40" t="str">
        <x:v>AI-005</x:v>
      </x:c>
      <x:c r="C40" s="40" t="str">
        <x:v>DuckTalent AI</x:v>
      </x:c>
      <x:c r="D40" s="40" t="str">
        <x:v>Integration</x:v>
      </x:c>
      <x:c r="E40" s="40" t="str">
        <x:v>Identity platform</x:v>
      </x:c>
      <x:c r="F40" s="40" t="str">
        <x:v>Authentication and authorization</x:v>
      </x:c>
      <x:c r="G40" s="40" t="str">
        <x:v>TBD</x:v>
      </x:c>
      <x:c r="H40" s="40" t="str">
        <x:v>Duckworks</x:v>
      </x:c>
      <x:c r="I40" s="40" t="str">
        <x:v>Enterprise</x:v>
      </x:c>
      <x:c r="J40" s="40" t="str">
        <x:v>TBD</x:v>
      </x:c>
      <x:c r="K40" s="40" t="str">
        <x:v>TBD</x:v>
      </x:c>
      <x:c r="L40" s="40" t="str">
        <x:v>Asset Inventory</x:v>
      </x:c>
      <x:c r="M40" s="40" t="str">
        <x:v>Partial</x:v>
      </x:c>
      <x:c r="N40" s="40" t="str">
        <x:v>Product/version/claims not evidenced.</x:v>
      </x:c>
    </x:row>
    <x:row r="41">
      <x:c r="A41" s="40" t="str">
        <x:v>AIBOM-AI005-C07</x:v>
      </x:c>
      <x:c r="B41" s="40" t="str">
        <x:v>AI-005</x:v>
      </x:c>
      <x:c r="C41" s="40" t="str">
        <x:v>DuckTalent AI</x:v>
      </x:c>
      <x:c r="D41" s="40" t="str">
        <x:v>Infrastructure</x:v>
      </x:c>
      <x:c r="E41" s="40" t="str">
        <x:v>Hosting environment</x:v>
      </x:c>
      <x:c r="F41" s="40" t="str">
        <x:v>Runtime / model hosting</x:v>
      </x:c>
      <x:c r="G41" s="40" t="str">
        <x:v>TBD</x:v>
      </x:c>
      <x:c r="H41" s="40" t="str">
        <x:v>TBD</x:v>
      </x:c>
      <x:c r="I41" s="40" t="str">
        <x:v>TBD</x:v>
      </x:c>
      <x:c r="J41" s="40" t="str">
        <x:v>TBD</x:v>
      </x:c>
      <x:c r="K41" s="40" t="str">
        <x:v>TBD</x:v>
      </x:c>
      <x:c r="L41" s="40" t="str">
        <x:v>Asset Inventory</x:v>
      </x:c>
      <x:c r="M41" s="40" t="str">
        <x:v>Unknown</x:v>
      </x:c>
      <x:c r="N41" s="40" t="str">
        <x:v>No vendor or hosting selected.</x:v>
      </x:c>
    </x:row>
    <x:row r="42">
      <x:c r="A42" s="40" t="str">
        <x:v>AIBOM-AI005-C08</x:v>
      </x:c>
      <x:c r="B42" s="40" t="str">
        <x:v>AI-005</x:v>
      </x:c>
      <x:c r="C42" s="40" t="str">
        <x:v>DuckTalent AI</x:v>
      </x:c>
      <x:c r="D42" s="40" t="str">
        <x:v>Monitoring</x:v>
      </x:c>
      <x:c r="E42" s="40" t="str">
        <x:v>Fairness / ranking / oversight monitoring</x:v>
      </x:c>
      <x:c r="F42" s="40" t="str">
        <x:v>Tracks group outcomes, errors, overrides and challenges</x:v>
      </x:c>
      <x:c r="G42" s="40" t="str">
        <x:v>TBD</x:v>
      </x:c>
      <x:c r="H42" s="40" t="str">
        <x:v>Duckworks</x:v>
      </x:c>
      <x:c r="I42" s="40" t="str">
        <x:v>TBD</x:v>
      </x:c>
      <x:c r="J42" s="40" t="str">
        <x:v>Internal</x:v>
      </x:c>
      <x:c r="K42" s="40" t="str">
        <x:v>TBD</x:v>
      </x:c>
      <x:c r="L42" s="40" t="str">
        <x:v>DuckTalent AIA</x:v>
      </x:c>
      <x:c r="M42" s="40" t="str">
        <x:v>TBD</x:v>
      </x:c>
      <x:c r="N42" s="40" t="str">
        <x:v>Measurement methodology and thresholds remain to be designed/validated.</x:v>
      </x:c>
    </x:row>
    <x:row r="43">
      <x:c r="A43" s="40" t="str">
        <x:v>AIBOM-AI006-C01</x:v>
      </x:c>
      <x:c r="B43" s="40" t="str">
        <x:v>AI-006</x:v>
      </x:c>
      <x:c r="C43" s="40" t="str">
        <x:v>PondGPT</x:v>
      </x:c>
      <x:c r="D43" s="40" t="str">
        <x:v>Application</x:v>
      </x:c>
      <x:c r="E43" s="40" t="str">
        <x:v>PondGPT</x:v>
      </x:c>
      <x:c r="F43" s="40" t="str">
        <x:v>Internal enterprise AI assistant</x:v>
      </x:c>
      <x:c r="G43" s="40" t="str">
        <x:v>Pilot-0.9</x:v>
      </x:c>
      <x:c r="H43" s="40" t="str">
        <x:v>Duckworks + fictional enterprise provider</x:v>
      </x:c>
      <x:c r="I43" s="40" t="str">
        <x:v>Private enterprise tenant</x:v>
      </x:c>
      <x:c r="J43" s="40" t="str">
        <x:v>TBD</x:v>
      </x:c>
      <x:c r="K43" s="40" t="str">
        <x:v>TBD</x:v>
      </x:c>
      <x:c r="L43" s="40" t="str">
        <x:v>Asset Inventory</x:v>
      </x:c>
      <x:c r="M43" s="40" t="str">
        <x:v>Partial</x:v>
      </x:c>
      <x:c r="N43" s="40" t="str">
        <x:v>Pilot version known; detailed package/build not evidenced.</x:v>
      </x:c>
    </x:row>
    <x:row r="44">
      <x:c r="A44" s="40" t="str">
        <x:v>AIBOM-AI006-C02</x:v>
      </x:c>
      <x:c r="B44" s="40" t="str">
        <x:v>AI-006</x:v>
      </x:c>
      <x:c r="C44" s="40" t="str">
        <x:v>PondGPT</x:v>
      </x:c>
      <x:c r="D44" s="40" t="str">
        <x:v>AI/ML Model</x:v>
      </x:c>
      <x:c r="E44" s="40" t="str">
        <x:v>Enterprise LLM</x:v>
      </x:c>
      <x:c r="F44" s="40" t="str">
        <x:v>Drafting / Q&amp;A / coding assistance</x:v>
      </x:c>
      <x:c r="G44" s="40" t="str">
        <x:v>TBD</x:v>
      </x:c>
      <x:c r="H44" s="40" t="str">
        <x:v>Fictional enterprise AI provider</x:v>
      </x:c>
      <x:c r="I44" s="40" t="str">
        <x:v>Private enterprise tenant</x:v>
      </x:c>
      <x:c r="J44" s="40" t="str">
        <x:v>TBD</x:v>
      </x:c>
      <x:c r="K44" s="40" t="str">
        <x:v>TBD</x:v>
      </x:c>
      <x:c r="L44" s="40" t="str">
        <x:v>Asset Inventory</x:v>
      </x:c>
      <x:c r="M44" s="40" t="str">
        <x:v>TBD</x:v>
      </x:c>
      <x:c r="N44" s="40" t="str">
        <x:v>Exact model/version/license/model card not evidenced.</x:v>
      </x:c>
    </x:row>
    <x:row r="45">
      <x:c r="A45" s="40" t="str">
        <x:v>AIBOM-AI006-C03</x:v>
      </x:c>
      <x:c r="B45" s="40" t="str">
        <x:v>AI-006</x:v>
      </x:c>
      <x:c r="C45" s="40" t="str">
        <x:v>PondGPT</x:v>
      </x:c>
      <x:c r="D45" s="40" t="str">
        <x:v>Software Component</x:v>
      </x:c>
      <x:c r="E45" s="40" t="str">
        <x:v>RAG orchestration</x:v>
      </x:c>
      <x:c r="F45" s="40" t="str">
        <x:v>Enterprise knowledge retrieval</x:v>
      </x:c>
      <x:c r="G45" s="40" t="str">
        <x:v>TBD</x:v>
      </x:c>
      <x:c r="H45" s="40" t="str">
        <x:v>Duckworks / provider</x:v>
      </x:c>
      <x:c r="I45" s="40" t="str">
        <x:v>Private enterprise tenant</x:v>
      </x:c>
      <x:c r="J45" s="40" t="str">
        <x:v>TBD</x:v>
      </x:c>
      <x:c r="K45" s="40" t="str">
        <x:v>TBD</x:v>
      </x:c>
      <x:c r="L45" s="40" t="str">
        <x:v>Asset Inventory</x:v>
      </x:c>
      <x:c r="M45" s="40" t="str">
        <x:v>Partial</x:v>
      </x:c>
      <x:c r="N45" s="40" t="str">
        <x:v>Architecture exists at conceptual level; implementation version not evidenced.</x:v>
      </x:c>
    </x:row>
    <x:row r="46">
      <x:c r="A46" s="40" t="str">
        <x:v>AIBOM-AI006-C04</x:v>
      </x:c>
      <x:c r="B46" s="40" t="str">
        <x:v>AI-006</x:v>
      </x:c>
      <x:c r="C46" s="40" t="str">
        <x:v>PondGPT</x:v>
      </x:c>
      <x:c r="D46" s="40" t="str">
        <x:v>AI/ML Model</x:v>
      </x:c>
      <x:c r="E46" s="40" t="str">
        <x:v>Embedding model</x:v>
      </x:c>
      <x:c r="F46" s="40" t="str">
        <x:v>Creates vectors for enterprise retrieval</x:v>
      </x:c>
      <x:c r="G46" s="40" t="str">
        <x:v>TBD</x:v>
      </x:c>
      <x:c r="H46" s="40" t="str">
        <x:v>TBD</x:v>
      </x:c>
      <x:c r="I46" s="40" t="str">
        <x:v>Private enterprise tenant</x:v>
      </x:c>
      <x:c r="J46" s="40" t="str">
        <x:v>TBD</x:v>
      </x:c>
      <x:c r="K46" s="40" t="str">
        <x:v>TBD</x:v>
      </x:c>
      <x:c r="L46" s="40" t="str">
        <x:v>Data-flow / DMP requirement</x:v>
      </x:c>
      <x:c r="M46" s="40" t="str">
        <x:v>TBD</x:v>
      </x:c>
      <x:c r="N46" s="40" t="str">
        <x:v>Exact embedding model/version unknown.</x:v>
      </x:c>
    </x:row>
    <x:row r="47">
      <x:c r="A47" s="40" t="str">
        <x:v>AIBOM-AI006-C05</x:v>
      </x:c>
      <x:c r="B47" s="40" t="str">
        <x:v>AI-006</x:v>
      </x:c>
      <x:c r="C47" s="40" t="str">
        <x:v>PondGPT</x:v>
      </x:c>
      <x:c r="D47" s="40" t="str">
        <x:v>Data Store</x:v>
      </x:c>
      <x:c r="E47" s="40" t="str">
        <x:v>Vector store / retrieval index</x:v>
      </x:c>
      <x:c r="F47" s="40" t="str">
        <x:v>Stores enterprise embeddings/indexes</x:v>
      </x:c>
      <x:c r="G47" s="40" t="str">
        <x:v>TBD</x:v>
      </x:c>
      <x:c r="H47" s="40" t="str">
        <x:v>TBD</x:v>
      </x:c>
      <x:c r="I47" s="40" t="str">
        <x:v>EU</x:v>
      </x:c>
      <x:c r="J47" s="40" t="str">
        <x:v>TBD</x:v>
      </x:c>
      <x:c r="K47" s="40" t="str">
        <x:v>TBD</x:v>
      </x:c>
      <x:c r="L47" s="40" t="str">
        <x:v>Data-flow / DMP requirement</x:v>
      </x:c>
      <x:c r="M47" s="40" t="str">
        <x:v>TBD</x:v>
      </x:c>
      <x:c r="N47" s="40" t="str">
        <x:v>Technology, version and retention require architecture evidence.</x:v>
      </x:c>
    </x:row>
    <x:row r="48">
      <x:c r="A48" s="40" t="str">
        <x:v>AIBOM-AI006-C06</x:v>
      </x:c>
      <x:c r="B48" s="40" t="str">
        <x:v>AI-006</x:v>
      </x:c>
      <x:c r="C48" s="40" t="str">
        <x:v>PondGPT</x:v>
      </x:c>
      <x:c r="D48" s="40" t="str">
        <x:v>Software Component</x:v>
      </x:c>
      <x:c r="E48" s="40" t="str">
        <x:v>Code assistant capability</x:v>
      </x:c>
      <x:c r="F48" s="40" t="str">
        <x:v>Coding support component</x:v>
      </x:c>
      <x:c r="G48" s="40" t="str">
        <x:v>TBD</x:v>
      </x:c>
      <x:c r="H48" s="40" t="str">
        <x:v>Fictional enterprise AI provider / Duckworks</x:v>
      </x:c>
      <x:c r="I48" s="40" t="str">
        <x:v>Private enterprise tenant</x:v>
      </x:c>
      <x:c r="J48" s="40" t="str">
        <x:v>TBD</x:v>
      </x:c>
      <x:c r="K48" s="40" t="str">
        <x:v>TBD</x:v>
      </x:c>
      <x:c r="L48" s="40" t="str">
        <x:v>Asset Inventory</x:v>
      </x:c>
      <x:c r="M48" s="40" t="str">
        <x:v>Partial</x:v>
      </x:c>
      <x:c r="N48" s="40" t="str">
        <x:v>Exact tool/model boundary not evidenced.</x:v>
      </x:c>
    </x:row>
    <x:row r="49">
      <x:c r="A49" s="40" t="str">
        <x:v>AIBOM-AI006-C07</x:v>
      </x:c>
      <x:c r="B49" s="40" t="str">
        <x:v>AI-006</x:v>
      </x:c>
      <x:c r="C49" s="40" t="str">
        <x:v>PondGPT</x:v>
      </x:c>
      <x:c r="D49" s="40" t="str">
        <x:v>Integration</x:v>
      </x:c>
      <x:c r="E49" s="40" t="str">
        <x:v>Document management</x:v>
      </x:c>
      <x:c r="F49" s="40" t="str">
        <x:v>Enterprise document retrieval source</x:v>
      </x:c>
      <x:c r="G49" s="40" t="str">
        <x:v>TBD</x:v>
      </x:c>
      <x:c r="H49" s="40" t="str">
        <x:v>Duckworks</x:v>
      </x:c>
      <x:c r="I49" s="40" t="str">
        <x:v>Enterprise</x:v>
      </x:c>
      <x:c r="J49" s="40" t="str">
        <x:v>Internal</x:v>
      </x:c>
      <x:c r="K49" s="40" t="str">
        <x:v>TBD</x:v>
      </x:c>
      <x:c r="L49" s="40" t="str">
        <x:v>Asset Inventory</x:v>
      </x:c>
      <x:c r="M49" s="40" t="str">
        <x:v>Partial</x:v>
      </x:c>
      <x:c r="N49" s="40" t="str">
        <x:v>Exact product/version and allowed repositories require evidence.</x:v>
      </x:c>
    </x:row>
    <x:row r="50">
      <x:c r="A50" s="40" t="str">
        <x:v>AIBOM-AI006-C08</x:v>
      </x:c>
      <x:c r="B50" s="40" t="str">
        <x:v>AI-006</x:v>
      </x:c>
      <x:c r="C50" s="40" t="str">
        <x:v>PondGPT</x:v>
      </x:c>
      <x:c r="D50" s="40" t="str">
        <x:v>Integration</x:v>
      </x:c>
      <x:c r="E50" s="40" t="str">
        <x:v>Code repositories</x:v>
      </x:c>
      <x:c r="F50" s="40" t="str">
        <x:v>Source-code retrieval/context</x:v>
      </x:c>
      <x:c r="G50" s="40" t="str">
        <x:v>TBD</x:v>
      </x:c>
      <x:c r="H50" s="40" t="str">
        <x:v>Duckworks</x:v>
      </x:c>
      <x:c r="I50" s="40" t="str">
        <x:v>Enterprise</x:v>
      </x:c>
      <x:c r="J50" s="40" t="str">
        <x:v>Internal</x:v>
      </x:c>
      <x:c r="K50" s="40" t="str">
        <x:v>TBD</x:v>
      </x:c>
      <x:c r="L50" s="40" t="str">
        <x:v>Asset Inventory</x:v>
      </x:c>
      <x:c r="M50" s="40" t="str">
        <x:v>Partial</x:v>
      </x:c>
      <x:c r="N50" s="40" t="str">
        <x:v>Exact repository products, scopes and permissions require evidence.</x:v>
      </x:c>
    </x:row>
    <x:row r="51">
      <x:c r="A51" s="40" t="str">
        <x:v>AIBOM-AI006-C09</x:v>
      </x:c>
      <x:c r="B51" s="40" t="str">
        <x:v>AI-006</x:v>
      </x:c>
      <x:c r="C51" s="40" t="str">
        <x:v>PondGPT</x:v>
      </x:c>
      <x:c r="D51" s="40" t="str">
        <x:v>Integration</x:v>
      </x:c>
      <x:c r="E51" s="40" t="str">
        <x:v>Identity service</x:v>
      </x:c>
      <x:c r="F51" s="40" t="str">
        <x:v>SSO / authorization context</x:v>
      </x:c>
      <x:c r="G51" s="40" t="str">
        <x:v>TBD</x:v>
      </x:c>
      <x:c r="H51" s="40" t="str">
        <x:v>Duckworks</x:v>
      </x:c>
      <x:c r="I51" s="40" t="str">
        <x:v>Enterprise</x:v>
      </x:c>
      <x:c r="J51" s="40" t="str">
        <x:v>TBD</x:v>
      </x:c>
      <x:c r="K51" s="40" t="str">
        <x:v>TBD</x:v>
      </x:c>
      <x:c r="L51" s="40" t="str">
        <x:v>Asset Inventory</x:v>
      </x:c>
      <x:c r="M51" s="40" t="str">
        <x:v>Partial</x:v>
      </x:c>
      <x:c r="N51" s="40" t="str">
        <x:v>Source-system authorization inheritance is an open critical assumption.</x:v>
      </x:c>
    </x:row>
    <x:row r="52">
      <x:c r="A52" s="40" t="str">
        <x:v>AIBOM-AI006-C10</x:v>
      </x:c>
      <x:c r="B52" s="40" t="str">
        <x:v>AI-006</x:v>
      </x:c>
      <x:c r="C52" s="40" t="str">
        <x:v>PondGPT</x:v>
      </x:c>
      <x:c r="D52" s="40" t="str">
        <x:v>Integration</x:v>
      </x:c>
      <x:c r="E52" s="40" t="str">
        <x:v>Knowledge base</x:v>
      </x:c>
      <x:c r="F52" s="40" t="str">
        <x:v>Internal knowledge retrieval source</x:v>
      </x:c>
      <x:c r="G52" s="40" t="str">
        <x:v>TBD</x:v>
      </x:c>
      <x:c r="H52" s="40" t="str">
        <x:v>Duckworks</x:v>
      </x:c>
      <x:c r="I52" s="40" t="str">
        <x:v>Enterprise</x:v>
      </x:c>
      <x:c r="J52" s="40" t="str">
        <x:v>Internal</x:v>
      </x:c>
      <x:c r="K52" s="40" t="str">
        <x:v>TBD</x:v>
      </x:c>
      <x:c r="L52" s="40" t="str">
        <x:v>Asset Inventory</x:v>
      </x:c>
      <x:c r="M52" s="40" t="str">
        <x:v>Partial</x:v>
      </x:c>
      <x:c r="N52" s="40" t="str">
        <x:v>Corpus/source manifest and freshness evidence required.</x:v>
      </x:c>
    </x:row>
    <x:row r="53">
      <x:c r="A53" s="40" t="str">
        <x:v>AIBOM-AI006-C11</x:v>
      </x:c>
      <x:c r="B53" s="40" t="str">
        <x:v>AI-006</x:v>
      </x:c>
      <x:c r="C53" s="40" t="str">
        <x:v>PondGPT</x:v>
      </x:c>
      <x:c r="D53" s="40" t="str">
        <x:v>Security Service</x:v>
      </x:c>
      <x:c r="E53" s="40" t="str">
        <x:v>DLP / logging controls</x:v>
      </x:c>
      <x:c r="F53" s="40" t="str">
        <x:v>Sensitive-data and audit controls</x:v>
      </x:c>
      <x:c r="G53" s="40" t="str">
        <x:v>TBD</x:v>
      </x:c>
      <x:c r="H53" s="40" t="str">
        <x:v>Duckworks</x:v>
      </x:c>
      <x:c r="I53" s="40" t="str">
        <x:v>Enterprise</x:v>
      </x:c>
      <x:c r="J53" s="40" t="str">
        <x:v>Internal</x:v>
      </x:c>
      <x:c r="K53" s="40" t="str">
        <x:v>TBD</x:v>
      </x:c>
      <x:c r="L53" s="40" t="str">
        <x:v>Control baseline</x:v>
      </x:c>
      <x:c r="M53" s="40" t="str">
        <x:v>Partial</x:v>
      </x:c>
      <x:c r="N53" s="40" t="str">
        <x:v>Controls are described; exact product/config/version not evidenced.</x:v>
      </x:c>
    </x:row>
    <x:row r="54">
      <x:c r="A54" s="40" t="str">
        <x:v>AIBOM-AI006-C12</x:v>
      </x:c>
      <x:c r="B54" s="40" t="str">
        <x:v>AI-006</x:v>
      </x:c>
      <x:c r="C54" s="40" t="str">
        <x:v>PondGPT</x:v>
      </x:c>
      <x:c r="D54" s="40" t="str">
        <x:v>Configuration</x:v>
      </x:c>
      <x:c r="E54" s="40" t="str">
        <x:v>System prompts / restricted connectors</x:v>
      </x:c>
      <x:c r="F54" s="40" t="str">
        <x:v>Assistant behavior and scope controls</x:v>
      </x:c>
      <x:c r="G54" s="40" t="str">
        <x:v>TBD</x:v>
      </x:c>
      <x:c r="H54" s="40" t="str">
        <x:v>Duckworks</x:v>
      </x:c>
      <x:c r="I54" s="40" t="str">
        <x:v>Application config</x:v>
      </x:c>
      <x:c r="J54" s="40" t="str">
        <x:v>Internal</x:v>
      </x:c>
      <x:c r="K54" s="40" t="str">
        <x:v>TBD</x:v>
      </x:c>
      <x:c r="L54" s="40" t="str">
        <x:v>Governance baseline</x:v>
      </x:c>
      <x:c r="M54" s="40" t="str">
        <x:v>TBD</x:v>
      </x:c>
      <x:c r="N54" s="40" t="str">
        <x:v>Configuration version/hash and approved connector list require evidence.</x:v>
      </x:c>
    </x:row>
    <x:row r="55">
      <x:c r="A55" s="40" t="str">
        <x:v>AIBOM-AI007-C01</x:v>
      </x:c>
      <x:c r="B55" s="40" t="str">
        <x:v>AI-007</x:v>
      </x:c>
      <x:c r="C55" s="40" t="str">
        <x:v>Unregistered GenAI Usage</x:v>
      </x:c>
      <x:c r="D55" s="40" t="str">
        <x:v>Discovery Placeholder</x:v>
      </x:c>
      <x:c r="E55" s="40" t="str">
        <x:v>Public GenAI services</x:v>
      </x:c>
      <x:c r="F55" s="40" t="str">
        <x:v>Multiple unregistered AI services</x:v>
      </x:c>
      <x:c r="G55" s="40" t="str">
        <x:v>Unknown</x:v>
      </x:c>
      <x:c r="H55" s="40" t="str">
        <x:v>Multiple unknown vendors</x:v>
      </x:c>
      <x:c r="I55" s="40" t="str">
        <x:v>External public SaaS</x:v>
      </x:c>
      <x:c r="J55" s="40" t="str">
        <x:v>Unknown</x:v>
      </x:c>
      <x:c r="K55" s="40" t="str">
        <x:v>Unknown</x:v>
      </x:c>
      <x:c r="L55" s="40" t="str">
        <x:v>Asset Inventory</x:v>
      </x:c>
      <x:c r="M55" s="40" t="str">
        <x:v>Unknown</x:v>
      </x:c>
      <x:c r="N55" s="40" t="str">
        <x:v>Not a valid consolidated AIBOM component; individual tools must be discovered and registered.</x:v>
      </x:c>
    </x:row>
    <x:row r="56">
      <x:c r="A56" s="40" t="str">
        <x:v>AIBOM-AI007-C02</x:v>
      </x:c>
      <x:c r="B56" s="40" t="str">
        <x:v>AI-007</x:v>
      </x:c>
      <x:c r="C56" s="40" t="str">
        <x:v>Unregistered GenAI Usage</x:v>
      </x:c>
      <x:c r="D56" s="40" t="str">
        <x:v>Discovery Placeholder</x:v>
      </x:c>
      <x:c r="E56" s="40" t="str">
        <x:v>Browser AI extensions</x:v>
      </x:c>
      <x:c r="F56" s="40" t="str">
        <x:v>Unapproved browser-integrated AI</x:v>
      </x:c>
      <x:c r="G56" s="40" t="str">
        <x:v>Unknown</x:v>
      </x:c>
      <x:c r="H56" s="40" t="str">
        <x:v>Multiple unknown vendors</x:v>
      </x:c>
      <x:c r="I56" s="40" t="str">
        <x:v>Browser / external SaaS</x:v>
      </x:c>
      <x:c r="J56" s="40" t="str">
        <x:v>Unknown</x:v>
      </x:c>
      <x:c r="K56" s="40" t="str">
        <x:v>Unknown</x:v>
      </x:c>
      <x:c r="L56" s="40" t="str">
        <x:v>Asset Inventory</x:v>
      </x:c>
      <x:c r="M56" s="40" t="str">
        <x:v>Unknown</x:v>
      </x:c>
      <x:c r="N56" s="40" t="str">
        <x:v>Names, versions, permissions and vendors are unknown.</x:v>
      </x:c>
    </x:row>
    <x:row r="57">
      <x:c r="A57" s="40" t="str">
        <x:v>AIBOM-AI007-C03</x:v>
      </x:c>
      <x:c r="B57" s="40" t="str">
        <x:v>AI-007</x:v>
      </x:c>
      <x:c r="C57" s="40" t="str">
        <x:v>Unregistered GenAI Usage</x:v>
      </x:c>
      <x:c r="D57" s="40" t="str">
        <x:v>Discovery Placeholder</x:v>
      </x:c>
      <x:c r="E57" s="40" t="str">
        <x:v>Unregistered coding assistants</x:v>
      </x:c>
      <x:c r="F57" s="40" t="str">
        <x:v>Potential code-generation use</x:v>
      </x:c>
      <x:c r="G57" s="40" t="str">
        <x:v>Unknown</x:v>
      </x:c>
      <x:c r="H57" s="40" t="str">
        <x:v>Unknown</x:v>
      </x:c>
      <x:c r="I57" s="40" t="str">
        <x:v>External / local TBD</x:v>
      </x:c>
      <x:c r="J57" s="40" t="str">
        <x:v>Unknown</x:v>
      </x:c>
      <x:c r="K57" s="40" t="str">
        <x:v>Unknown</x:v>
      </x:c>
      <x:c r="L57" s="40" t="str">
        <x:v>Business scenario</x:v>
      </x:c>
      <x:c r="M57" s="40" t="str">
        <x:v>Unknown</x:v>
      </x:c>
      <x:c r="N57" s="40" t="str">
        <x:v>Individual services and repository permissions require discovery.</x:v>
      </x:c>
    </x:row>
    <x:row r="58">
      <x:c r="A58" s="40" t="str">
        <x:v>AIBOM-AI007-C04</x:v>
      </x:c>
      <x:c r="B58" s="40" t="str">
        <x:v>AI-007</x:v>
      </x:c>
      <x:c r="C58" s="40" t="str">
        <x:v>Unregistered GenAI Usage</x:v>
      </x:c>
      <x:c r="D58" s="40" t="str">
        <x:v>Discovery Placeholder</x:v>
      </x:c>
      <x:c r="E58" s="40" t="str">
        <x:v>Unregistered translation / summarization tools</x:v>
      </x:c>
      <x:c r="F58" s="40" t="str">
        <x:v>Potential document-processing use</x:v>
      </x:c>
      <x:c r="G58" s="40" t="str">
        <x:v>Unknown</x:v>
      </x:c>
      <x:c r="H58" s="40" t="str">
        <x:v>Unknown</x:v>
      </x:c>
      <x:c r="I58" s="40" t="str">
        <x:v>External public SaaS</x:v>
      </x:c>
      <x:c r="J58" s="40" t="str">
        <x:v>Unknown</x:v>
      </x:c>
      <x:c r="K58" s="40" t="str">
        <x:v>Unknown</x:v>
      </x:c>
      <x:c r="L58" s="40" t="str">
        <x:v>Business scenario</x:v>
      </x:c>
      <x:c r="M58" s="40" t="str">
        <x:v>Unknown</x:v>
      </x:c>
      <x:c r="N58" s="40" t="str">
        <x:v>Individual services and data exposure require discovery.</x:v>
      </x:c>
    </x:row>
  </x:sheetData>
  <x:mergeCells>
    <x:mergeCell ref="A1:N1"/>
  </x:mergeCells>
  <x:conditionalFormatting sqref="M4:M58">
    <x:cfRule type="expression" dxfId="3" priority="1">
      <x:formula>M4="Known"</x:formula>
    </x:cfRule>
    <x:cfRule type="expression" dxfId="4" priority="2">
      <x:formula>M4="Partial"</x:formula>
    </x:cfRule>
    <x:cfRule type="expression" dxfId="5" priority="3">
      <x:formula>M4="TBD"</x:formula>
    </x:cfRule>
    <x:cfRule type="expression" dxfId="6" priority="4">
      <x:formula>M4="Unknown"</x:formula>
    </x:cfRule>
    <x:cfRule type="expression" dxfId="7" priority="5">
      <x:formula>M4="N/A"</x:formula>
    </x:cfRule>
  </x:conditionalFormatting>
  <x:dataValidations count="1">
    <x:dataValidation type="list" sqref="M4:M58">
      <x:formula1>"Known,Partial,TBD,Unknown,N/A"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4f2215e69348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2" hidden="0" customWidth="1"/>
    <x:col min="4" max="4" width="21" hidden="0" customWidth="1"/>
    <x:col min="5" max="5" width="22" hidden="0" customWidth="1"/>
    <x:col min="6" max="6" width="14" hidden="0" customWidth="1"/>
    <x:col min="7" max="7" width="55" hidden="0" customWidth="1"/>
  </x:cols>
  <x:sheetData>
    <x:row r="1" ht="28" customHeight="1">
      <x:c r="A1" s="5" t="str">
        <x:v>DUCKWORKS | AIBOM DEPENDENCY MAP</x:v>
      </x:c>
      <x:c r="B1" s="5"/>
      <x:c r="C1" s="5"/>
      <x:c r="D1" s="5"/>
      <x:c r="E1" s="5"/>
      <x:c r="F1" s="5"/>
      <x:c r="G1" s="5"/>
    </x:row>
    <x:row r="3">
      <x:c r="A3" s="33" t="str">
        <x:v>Relationship ID</x:v>
      </x:c>
      <x:c r="B3" s="33" t="str">
        <x:v>AI ID</x:v>
      </x:c>
      <x:c r="C3" s="33" t="str">
        <x:v>From Component</x:v>
      </x:c>
      <x:c r="D3" s="33" t="str">
        <x:v>Relationship</x:v>
      </x:c>
      <x:c r="E3" s="33" t="str">
        <x:v>To Component</x:v>
      </x:c>
      <x:c r="F3" s="33" t="str">
        <x:v>Evidence Status</x:v>
      </x:c>
      <x:c r="G3" s="33" t="str">
        <x:v>Notes</x:v>
      </x:c>
    </x:row>
    <x:row r="4">
      <x:c r="A4" s="40" t="str">
        <x:v>REL-001</x:v>
      </x:c>
      <x:c r="B4" s="40" t="str">
        <x:v>AI-001</x:v>
      </x:c>
      <x:c r="C4" s="40" t="str">
        <x:v>AIBOM-AI001-C01</x:v>
      </x:c>
      <x:c r="D4" s="40" t="str">
        <x:v>USES</x:v>
      </x:c>
      <x:c r="E4" s="40" t="str">
        <x:v>AIBOM-AI001-C02</x:v>
      </x:c>
      <x:c r="F4" s="40" t="str">
        <x:v>Partial</x:v>
      </x:c>
      <x:c r="G4" s="40" t="str">
        <x:v>Application uses third-party foundation model; exact endpoint/model version TBD.</x:v>
      </x:c>
    </x:row>
    <x:row r="5">
      <x:c r="A5" s="40" t="str">
        <x:v>REL-002</x:v>
      </x:c>
      <x:c r="B5" s="40" t="str">
        <x:v>AI-001</x:v>
      </x:c>
      <x:c r="C5" s="40" t="str">
        <x:v>AIBOM-AI001-C01</x:v>
      </x:c>
      <x:c r="D5" s="40" t="str">
        <x:v>USES</x:v>
      </x:c>
      <x:c r="E5" s="40" t="str">
        <x:v>AIBOM-AI001-C03</x:v>
      </x:c>
      <x:c r="F5" s="40" t="str">
        <x:v>Partial</x:v>
      </x:c>
      <x:c r="G5" s="40" t="str">
        <x:v>Optimization service composition TBD.</x:v>
      </x:c>
    </x:row>
    <x:row r="6">
      <x:c r="A6" s="40" t="str">
        <x:v>REL-003</x:v>
      </x:c>
      <x:c r="B6" s="40" t="str">
        <x:v>AI-001</x:v>
      </x:c>
      <x:c r="C6" s="40" t="str">
        <x:v>AIBOM-AI001-C01</x:v>
      </x:c>
      <x:c r="D6" s="40" t="str">
        <x:v>INTEGRATES_WITH</x:v>
      </x:c>
      <x:c r="E6" s="40" t="str">
        <x:v>AIBOM-AI001-C04</x:v>
      </x:c>
      <x:c r="F6" s="40" t="str">
        <x:v>Partial</x:v>
      </x:c>
      <x:c r="G6" s="40" t="str">
        <x:v>CAD workflow.</x:v>
      </x:c>
    </x:row>
    <x:row r="7">
      <x:c r="A7" s="40" t="str">
        <x:v>REL-004</x:v>
      </x:c>
      <x:c r="B7" s="40" t="str">
        <x:v>AI-001</x:v>
      </x:c>
      <x:c r="C7" s="40" t="str">
        <x:v>AIBOM-AI001-C01</x:v>
      </x:c>
      <x:c r="D7" s="40" t="str">
        <x:v>INTEGRATES_WITH</x:v>
      </x:c>
      <x:c r="E7" s="40" t="str">
        <x:v>AIBOM-AI001-C05</x:v>
      </x:c>
      <x:c r="F7" s="40" t="str">
        <x:v>Partial</x:v>
      </x:c>
      <x:c r="G7" s="40" t="str">
        <x:v>Simulation workflow.</x:v>
      </x:c>
    </x:row>
    <x:row r="8">
      <x:c r="A8" s="40" t="str">
        <x:v>REL-005</x:v>
      </x:c>
      <x:c r="B8" s="40" t="str">
        <x:v>AI-001</x:v>
      </x:c>
      <x:c r="C8" s="40" t="str">
        <x:v>AIBOM-AI001-C01</x:v>
      </x:c>
      <x:c r="D8" s="40" t="str">
        <x:v>HOSTED_ON</x:v>
      </x:c>
      <x:c r="E8" s="40" t="str">
        <x:v>AIBOM-AI001-C06</x:v>
      </x:c>
      <x:c r="F8" s="40" t="str">
        <x:v>Partial</x:v>
      </x:c>
      <x:c r="G8" s="40" t="str">
        <x:v>Hybrid provider/private hosting description only.</x:v>
      </x:c>
    </x:row>
    <x:row r="9">
      <x:c r="A9" s="40" t="str">
        <x:v>REL-006</x:v>
      </x:c>
      <x:c r="B9" s="40" t="str">
        <x:v>AI-002</x:v>
      </x:c>
      <x:c r="C9" s="40" t="str">
        <x:v>AIBOM-AI002-C01</x:v>
      </x:c>
      <x:c r="D9" s="40" t="str">
        <x:v>USES</x:v>
      </x:c>
      <x:c r="E9" s="40" t="str">
        <x:v>AIBOM-AI002-C02</x:v>
      </x:c>
      <x:c r="F9" s="40" t="str">
        <x:v>Partial</x:v>
      </x:c>
      <x:c r="G9" s="40" t="str">
        <x:v>Underlying LLM exact version TBD.</x:v>
      </x:c>
    </x:row>
    <x:row r="10">
      <x:c r="A10" s="40" t="str">
        <x:v>REL-007</x:v>
      </x:c>
      <x:c r="B10" s="40" t="str">
        <x:v>AI-002</x:v>
      </x:c>
      <x:c r="C10" s="40" t="str">
        <x:v>AIBOM-AI002-C01</x:v>
      </x:c>
      <x:c r="D10" s="40" t="str">
        <x:v>USES</x:v>
      </x:c>
      <x:c r="E10" s="40" t="str">
        <x:v>AIBOM-AI002-C03</x:v>
      </x:c>
      <x:c r="F10" s="40" t="str">
        <x:v>Partial</x:v>
      </x:c>
      <x:c r="G10" s="40" t="str">
        <x:v>RAG workflow.</x:v>
      </x:c>
    </x:row>
    <x:row r="11">
      <x:c r="A11" s="40" t="str">
        <x:v>REL-008</x:v>
      </x:c>
      <x:c r="B11" s="40" t="str">
        <x:v>AI-002</x:v>
      </x:c>
      <x:c r="C11" s="40" t="str">
        <x:v>AIBOM-AI002-C03</x:v>
      </x:c>
      <x:c r="D11" s="40" t="str">
        <x:v>USES</x:v>
      </x:c>
      <x:c r="E11" s="40" t="str">
        <x:v>AIBOM-AI002-C04</x:v>
      </x:c>
      <x:c r="F11" s="40" t="str">
        <x:v>TBD</x:v>
      </x:c>
      <x:c r="G11" s="40" t="str">
        <x:v>Vector/index technology not evidenced.</x:v>
      </x:c>
    </x:row>
    <x:row r="12">
      <x:c r="A12" s="40" t="str">
        <x:v>REL-009</x:v>
      </x:c>
      <x:c r="B12" s="40" t="str">
        <x:v>AI-002</x:v>
      </x:c>
      <x:c r="C12" s="40" t="str">
        <x:v>AIBOM-AI002-C01</x:v>
      </x:c>
      <x:c r="D12" s="40" t="str">
        <x:v>INTEGRATES_WITH</x:v>
      </x:c>
      <x:c r="E12" s="40" t="str">
        <x:v>AIBOM-AI002-C05</x:v>
      </x:c>
      <x:c r="F12" s="40" t="str">
        <x:v>Partial</x:v>
      </x:c>
      <x:c r="G12" s="40" t="str">
        <x:v>CRM.</x:v>
      </x:c>
    </x:row>
    <x:row r="13">
      <x:c r="A13" s="40" t="str">
        <x:v>REL-010</x:v>
      </x:c>
      <x:c r="B13" s="40" t="str">
        <x:v>AI-002</x:v>
      </x:c>
      <x:c r="C13" s="40" t="str">
        <x:v>AIBOM-AI002-C03</x:v>
      </x:c>
      <x:c r="D13" s="40" t="str">
        <x:v>RETRIEVES_FROM</x:v>
      </x:c>
      <x:c r="E13" s="40" t="str">
        <x:v>AIBOM-AI002-C06</x:v>
      </x:c>
      <x:c r="F13" s="40" t="str">
        <x:v>Partial</x:v>
      </x:c>
      <x:c r="G13" s="40" t="str">
        <x:v>Support knowledge.</x:v>
      </x:c>
    </x:row>
    <x:row r="14">
      <x:c r="A14" s="40" t="str">
        <x:v>REL-011</x:v>
      </x:c>
      <x:c r="B14" s="40" t="str">
        <x:v>AI-002</x:v>
      </x:c>
      <x:c r="C14" s="40" t="str">
        <x:v>AIBOM-AI002-C01</x:v>
      </x:c>
      <x:c r="D14" s="40" t="str">
        <x:v>AUTHENTICATES_VIA</x:v>
      </x:c>
      <x:c r="E14" s="40" t="str">
        <x:v>AIBOM-AI002-C07</x:v>
      </x:c>
      <x:c r="F14" s="40" t="str">
        <x:v>Partial</x:v>
      </x:c>
      <x:c r="G14" s="40" t="str">
        <x:v>Identity service.</x:v>
      </x:c>
    </x:row>
    <x:row r="15">
      <x:c r="A15" s="40" t="str">
        <x:v>REL-012</x:v>
      </x:c>
      <x:c r="B15" s="40" t="str">
        <x:v>AI-003</x:v>
      </x:c>
      <x:c r="C15" s="40" t="str">
        <x:v>AIBOM-AI003-C01</x:v>
      </x:c>
      <x:c r="D15" s="40" t="str">
        <x:v>USES</x:v>
      </x:c>
      <x:c r="E15" s="40" t="str">
        <x:v>AIBOM-AI003-C02</x:v>
      </x:c>
      <x:c r="F15" s="40" t="str">
        <x:v>Partial</x:v>
      </x:c>
      <x:c r="G15" s="40" t="str">
        <x:v>Gradient boosting component.</x:v>
      </x:c>
    </x:row>
    <x:row r="16">
      <x:c r="A16" s="40" t="str">
        <x:v>REL-013</x:v>
      </x:c>
      <x:c r="B16" s="40" t="str">
        <x:v>AI-003</x:v>
      </x:c>
      <x:c r="C16" s="40" t="str">
        <x:v>AIBOM-AI003-C01</x:v>
      </x:c>
      <x:c r="D16" s="40" t="str">
        <x:v>USES</x:v>
      </x:c>
      <x:c r="E16" s="40" t="str">
        <x:v>AIBOM-AI003-C03</x:v>
      </x:c>
      <x:c r="F16" s="40" t="str">
        <x:v>Partial</x:v>
      </x:c>
      <x:c r="G16" s="40" t="str">
        <x:v>Time-series component.</x:v>
      </x:c>
    </x:row>
    <x:row r="17">
      <x:c r="A17" s="40" t="str">
        <x:v>REL-014</x:v>
      </x:c>
      <x:c r="B17" s="40" t="str">
        <x:v>AI-003</x:v>
      </x:c>
      <x:c r="C17" s="40" t="str">
        <x:v>AIBOM-AI003-C01</x:v>
      </x:c>
      <x:c r="D17" s="40" t="str">
        <x:v>USES</x:v>
      </x:c>
      <x:c r="E17" s="40" t="str">
        <x:v>AIBOM-AI003-C04</x:v>
      </x:c>
      <x:c r="F17" s="40" t="str">
        <x:v>TBD</x:v>
      </x:c>
      <x:c r="G17" s="40" t="str">
        <x:v>Feature pipeline.</x:v>
      </x:c>
    </x:row>
    <x:row r="18">
      <x:c r="A18" s="40" t="str">
        <x:v>REL-015</x:v>
      </x:c>
      <x:c r="B18" s="40" t="str">
        <x:v>AI-003</x:v>
      </x:c>
      <x:c r="C18" s="40" t="str">
        <x:v>AIBOM-AI003-C01</x:v>
      </x:c>
      <x:c r="D18" s="40" t="str">
        <x:v>INTEGRATES_WITH</x:v>
      </x:c>
      <x:c r="E18" s="40" t="str">
        <x:v>AIBOM-AI003-C05</x:v>
      </x:c>
      <x:c r="F18" s="40" t="str">
        <x:v>Partial</x:v>
      </x:c>
      <x:c r="G18" s="40" t="str">
        <x:v>ERP.</x:v>
      </x:c>
    </x:row>
    <x:row r="19">
      <x:c r="A19" s="40" t="str">
        <x:v>REL-016</x:v>
      </x:c>
      <x:c r="B19" s="40" t="str">
        <x:v>AI-003</x:v>
      </x:c>
      <x:c r="C19" s="40" t="str">
        <x:v>AIBOM-AI003-C01</x:v>
      </x:c>
      <x:c r="D19" s="40" t="str">
        <x:v>INTEGRATES_WITH</x:v>
      </x:c>
      <x:c r="E19" s="40" t="str">
        <x:v>AIBOM-AI003-C06</x:v>
      </x:c>
      <x:c r="F19" s="40" t="str">
        <x:v>Partial</x:v>
      </x:c>
      <x:c r="G19" s="40" t="str">
        <x:v>Warehouse system.</x:v>
      </x:c>
    </x:row>
    <x:row r="20">
      <x:c r="A20" s="40" t="str">
        <x:v>REL-017</x:v>
      </x:c>
      <x:c r="B20" s="40" t="str">
        <x:v>AI-003</x:v>
      </x:c>
      <x:c r="C20" s="40" t="str">
        <x:v>AIBOM-AI003-C01</x:v>
      </x:c>
      <x:c r="D20" s="40" t="str">
        <x:v>INTEGRATES_WITH</x:v>
      </x:c>
      <x:c r="E20" s="40" t="str">
        <x:v>AIBOM-AI003-C07</x:v>
      </x:c>
      <x:c r="F20" s="40" t="str">
        <x:v>Partial</x:v>
      </x:c>
      <x:c r="G20" s="40" t="str">
        <x:v>Planning platform.</x:v>
      </x:c>
    </x:row>
    <x:row r="21">
      <x:c r="A21" s="40" t="str">
        <x:v>REL-018</x:v>
      </x:c>
      <x:c r="B21" s="40" t="str">
        <x:v>AI-003</x:v>
      </x:c>
      <x:c r="C21" s="40" t="str">
        <x:v>AIBOM-AI003-C01</x:v>
      </x:c>
      <x:c r="D21" s="40" t="str">
        <x:v>HOSTED_ON</x:v>
      </x:c>
      <x:c r="E21" s="40" t="str">
        <x:v>AIBOM-AI003-C08</x:v>
      </x:c>
      <x:c r="F21" s="40" t="str">
        <x:v>Partial</x:v>
      </x:c>
      <x:c r="G21" s="40" t="str">
        <x:v>Private cloud.</x:v>
      </x:c>
    </x:row>
    <x:row r="22">
      <x:c r="A22" s="40" t="str">
        <x:v>REL-019</x:v>
      </x:c>
      <x:c r="B22" s="40" t="str">
        <x:v>AI-004</x:v>
      </x:c>
      <x:c r="C22" s="40" t="str">
        <x:v>AIBOM-AI004-C01</x:v>
      </x:c>
      <x:c r="D22" s="40" t="str">
        <x:v>USES</x:v>
      </x:c>
      <x:c r="E22" s="40" t="str">
        <x:v>AIBOM-AI004-C02</x:v>
      </x:c>
      <x:c r="F22" s="40" t="str">
        <x:v>Partial</x:v>
      </x:c>
      <x:c r="G22" s="40" t="str">
        <x:v>Vision model.</x:v>
      </x:c>
    </x:row>
    <x:row r="23">
      <x:c r="A23" s="40" t="str">
        <x:v>REL-020</x:v>
      </x:c>
      <x:c r="B23" s="40" t="str">
        <x:v>AI-004</x:v>
      </x:c>
      <x:c r="C23" s="40" t="str">
        <x:v>AIBOM-AI004-C02</x:v>
      </x:c>
      <x:c r="D23" s="40" t="str">
        <x:v>RUNS_ON</x:v>
      </x:c>
      <x:c r="E23" s="40" t="str">
        <x:v>AIBOM-AI004-C03</x:v>
      </x:c>
      <x:c r="F23" s="40" t="str">
        <x:v>TBD</x:v>
      </x:c>
      <x:c r="G23" s="40" t="str">
        <x:v>Edge runtime unknown.</x:v>
      </x:c>
    </x:row>
    <x:row r="24">
      <x:c r="A24" s="40" t="str">
        <x:v>REL-021</x:v>
      </x:c>
      <x:c r="B24" s="40" t="str">
        <x:v>AI-004</x:v>
      </x:c>
      <x:c r="C24" s="40" t="str">
        <x:v>AIBOM-AI004-C01</x:v>
      </x:c>
      <x:c r="D24" s="40" t="str">
        <x:v>USES</x:v>
      </x:c>
      <x:c r="E24" s="40" t="str">
        <x:v>AIBOM-AI004-C04</x:v>
      </x:c>
      <x:c r="F24" s="40" t="str">
        <x:v>Partial</x:v>
      </x:c>
      <x:c r="G24" s="40" t="str">
        <x:v>Private cloud management/analytics.</x:v>
      </x:c>
    </x:row>
    <x:row r="25">
      <x:c r="A25" s="40" t="str">
        <x:v>REL-022</x:v>
      </x:c>
      <x:c r="B25" s="40" t="str">
        <x:v>AI-004</x:v>
      </x:c>
      <x:c r="C25" s="40" t="str">
        <x:v>AIBOM-AI004-C01</x:v>
      </x:c>
      <x:c r="D25" s="40" t="str">
        <x:v>RECEIVES_FROM</x:v>
      </x:c>
      <x:c r="E25" s="40" t="str">
        <x:v>AIBOM-AI004-C05</x:v>
      </x:c>
      <x:c r="F25" s="40" t="str">
        <x:v>Partial</x:v>
      </x:c>
      <x:c r="G25" s="40" t="str">
        <x:v>Production camera images.</x:v>
      </x:c>
    </x:row>
    <x:row r="26">
      <x:c r="A26" s="40" t="str">
        <x:v>REL-023</x:v>
      </x:c>
      <x:c r="B26" s="40" t="str">
        <x:v>AI-004</x:v>
      </x:c>
      <x:c r="C26" s="40" t="str">
        <x:v>AIBOM-AI004-C01</x:v>
      </x:c>
      <x:c r="D26" s="40" t="str">
        <x:v>INTEGRATES_WITH</x:v>
      </x:c>
      <x:c r="E26" s="40" t="str">
        <x:v>AIBOM-AI004-C06</x:v>
      </x:c>
      <x:c r="F26" s="40" t="str">
        <x:v>Partial</x:v>
      </x:c>
      <x:c r="G26" s="40" t="str">
        <x:v>Quality workflow.</x:v>
      </x:c>
    </x:row>
    <x:row r="27">
      <x:c r="A27" s="40" t="str">
        <x:v>REL-024</x:v>
      </x:c>
      <x:c r="B27" s="40" t="str">
        <x:v>AI-005</x:v>
      </x:c>
      <x:c r="C27" s="40" t="str">
        <x:v>AIBOM-AI005-C01</x:v>
      </x:c>
      <x:c r="D27" s="40" t="str">
        <x:v>USES</x:v>
      </x:c>
      <x:c r="E27" s="40" t="str">
        <x:v>AIBOM-AI005-C02</x:v>
      </x:c>
      <x:c r="F27" s="40" t="str">
        <x:v>Unknown</x:v>
      </x:c>
      <x:c r="G27" s="40" t="str">
        <x:v>No model selected.</x:v>
      </x:c>
    </x:row>
    <x:row r="28">
      <x:c r="A28" s="40" t="str">
        <x:v>REL-025</x:v>
      </x:c>
      <x:c r="B28" s="40" t="str">
        <x:v>AI-005</x:v>
      </x:c>
      <x:c r="C28" s="40" t="str">
        <x:v>AIBOM-AI005-C01</x:v>
      </x:c>
      <x:c r="D28" s="40" t="str">
        <x:v>USES</x:v>
      </x:c>
      <x:c r="E28" s="40" t="str">
        <x:v>AIBOM-AI005-C03</x:v>
      </x:c>
      <x:c r="F28" s="40" t="str">
        <x:v>Unknown</x:v>
      </x:c>
      <x:c r="G28" s="40" t="str">
        <x:v>Ranking logic not defined/evidenced.</x:v>
      </x:c>
    </x:row>
    <x:row r="29">
      <x:c r="A29" s="40" t="str">
        <x:v>REL-026</x:v>
      </x:c>
      <x:c r="B29" s="40" t="str">
        <x:v>AI-005</x:v>
      </x:c>
      <x:c r="C29" s="40" t="str">
        <x:v>AIBOM-AI005-C01</x:v>
      </x:c>
      <x:c r="D29" s="40" t="str">
        <x:v>INTEGRATES_WITH</x:v>
      </x:c>
      <x:c r="E29" s="40" t="str">
        <x:v>AIBOM-AI005-C04</x:v>
      </x:c>
      <x:c r="F29" s="40" t="str">
        <x:v>Partial</x:v>
      </x:c>
      <x:c r="G29" s="40" t="str">
        <x:v>ATS planned.</x:v>
      </x:c>
    </x:row>
    <x:row r="30">
      <x:c r="A30" s="40" t="str">
        <x:v>REL-027</x:v>
      </x:c>
      <x:c r="B30" s="40" t="str">
        <x:v>AI-005</x:v>
      </x:c>
      <x:c r="C30" s="40" t="str">
        <x:v>AIBOM-AI005-C01</x:v>
      </x:c>
      <x:c r="D30" s="40" t="str">
        <x:v>INTEGRATES_WITH</x:v>
      </x:c>
      <x:c r="E30" s="40" t="str">
        <x:v>AIBOM-AI005-C05</x:v>
      </x:c>
      <x:c r="F30" s="40" t="str">
        <x:v>Partial</x:v>
      </x:c>
      <x:c r="G30" s="40" t="str">
        <x:v>HRIS planned.</x:v>
      </x:c>
    </x:row>
    <x:row r="31">
      <x:c r="A31" s="40" t="str">
        <x:v>REL-028</x:v>
      </x:c>
      <x:c r="B31" s="40" t="str">
        <x:v>AI-005</x:v>
      </x:c>
      <x:c r="C31" s="40" t="str">
        <x:v>AIBOM-AI005-C01</x:v>
      </x:c>
      <x:c r="D31" s="40" t="str">
        <x:v>AUTHENTICATES_VIA</x:v>
      </x:c>
      <x:c r="E31" s="40" t="str">
        <x:v>AIBOM-AI005-C06</x:v>
      </x:c>
      <x:c r="F31" s="40" t="str">
        <x:v>Partial</x:v>
      </x:c>
      <x:c r="G31" s="40" t="str">
        <x:v>Identity planned.</x:v>
      </x:c>
    </x:row>
    <x:row r="32">
      <x:c r="A32" s="40" t="str">
        <x:v>REL-029</x:v>
      </x:c>
      <x:c r="B32" s="40" t="str">
        <x:v>AI-005</x:v>
      </x:c>
      <x:c r="C32" s="40" t="str">
        <x:v>AIBOM-AI005-C01</x:v>
      </x:c>
      <x:c r="D32" s="40" t="str">
        <x:v>HOSTED_ON</x:v>
      </x:c>
      <x:c r="E32" s="40" t="str">
        <x:v>AIBOM-AI005-C07</x:v>
      </x:c>
      <x:c r="F32" s="40" t="str">
        <x:v>Unknown</x:v>
      </x:c>
      <x:c r="G32" s="40" t="str">
        <x:v>Hosting undecided.</x:v>
      </x:c>
    </x:row>
    <x:row r="33">
      <x:c r="A33" s="40" t="str">
        <x:v>REL-030</x:v>
      </x:c>
      <x:c r="B33" s="40" t="str">
        <x:v>AI-006</x:v>
      </x:c>
      <x:c r="C33" s="40" t="str">
        <x:v>AIBOM-AI006-C01</x:v>
      </x:c>
      <x:c r="D33" s="40" t="str">
        <x:v>USES</x:v>
      </x:c>
      <x:c r="E33" s="40" t="str">
        <x:v>AIBOM-AI006-C02</x:v>
      </x:c>
      <x:c r="F33" s="40" t="str">
        <x:v>TBD</x:v>
      </x:c>
      <x:c r="G33" s="40" t="str">
        <x:v>Exact enterprise LLM unknown.</x:v>
      </x:c>
    </x:row>
    <x:row r="34">
      <x:c r="A34" s="40" t="str">
        <x:v>REL-031</x:v>
      </x:c>
      <x:c r="B34" s="40" t="str">
        <x:v>AI-006</x:v>
      </x:c>
      <x:c r="C34" s="40" t="str">
        <x:v>AIBOM-AI006-C01</x:v>
      </x:c>
      <x:c r="D34" s="40" t="str">
        <x:v>USES</x:v>
      </x:c>
      <x:c r="E34" s="40" t="str">
        <x:v>AIBOM-AI006-C03</x:v>
      </x:c>
      <x:c r="F34" s="40" t="str">
        <x:v>Partial</x:v>
      </x:c>
      <x:c r="G34" s="40" t="str">
        <x:v>RAG.</x:v>
      </x:c>
    </x:row>
    <x:row r="35">
      <x:c r="A35" s="40" t="str">
        <x:v>REL-032</x:v>
      </x:c>
      <x:c r="B35" s="40" t="str">
        <x:v>AI-006</x:v>
      </x:c>
      <x:c r="C35" s="40" t="str">
        <x:v>AIBOM-AI006-C03</x:v>
      </x:c>
      <x:c r="D35" s="40" t="str">
        <x:v>USES</x:v>
      </x:c>
      <x:c r="E35" s="40" t="str">
        <x:v>AIBOM-AI006-C04</x:v>
      </x:c>
      <x:c r="F35" s="40" t="str">
        <x:v>TBD</x:v>
      </x:c>
      <x:c r="G35" s="40" t="str">
        <x:v>Embedding model unknown.</x:v>
      </x:c>
    </x:row>
    <x:row r="36">
      <x:c r="A36" s="40" t="str">
        <x:v>REL-033</x:v>
      </x:c>
      <x:c r="B36" s="40" t="str">
        <x:v>AI-006</x:v>
      </x:c>
      <x:c r="C36" s="40" t="str">
        <x:v>AIBOM-AI006-C03</x:v>
      </x:c>
      <x:c r="D36" s="40" t="str">
        <x:v>USES</x:v>
      </x:c>
      <x:c r="E36" s="40" t="str">
        <x:v>AIBOM-AI006-C05</x:v>
      </x:c>
      <x:c r="F36" s="40" t="str">
        <x:v>TBD</x:v>
      </x:c>
      <x:c r="G36" s="40" t="str">
        <x:v>Vector store unknown.</x:v>
      </x:c>
    </x:row>
    <x:row r="37">
      <x:c r="A37" s="40" t="str">
        <x:v>REL-034</x:v>
      </x:c>
      <x:c r="B37" s="40" t="str">
        <x:v>AI-006</x:v>
      </x:c>
      <x:c r="C37" s="40" t="str">
        <x:v>AIBOM-AI006-C01</x:v>
      </x:c>
      <x:c r="D37" s="40" t="str">
        <x:v>USES</x:v>
      </x:c>
      <x:c r="E37" s="40" t="str">
        <x:v>AIBOM-AI006-C06</x:v>
      </x:c>
      <x:c r="F37" s="40" t="str">
        <x:v>Partial</x:v>
      </x:c>
      <x:c r="G37" s="40" t="str">
        <x:v>Code assistant capability.</x:v>
      </x:c>
    </x:row>
    <x:row r="38">
      <x:c r="A38" s="40" t="str">
        <x:v>REL-035</x:v>
      </x:c>
      <x:c r="B38" s="40" t="str">
        <x:v>AI-006</x:v>
      </x:c>
      <x:c r="C38" s="40" t="str">
        <x:v>AIBOM-AI006-C03</x:v>
      </x:c>
      <x:c r="D38" s="40" t="str">
        <x:v>RETRIEVES_FROM</x:v>
      </x:c>
      <x:c r="E38" s="40" t="str">
        <x:v>AIBOM-AI006-C07</x:v>
      </x:c>
      <x:c r="F38" s="40" t="str">
        <x:v>Partial</x:v>
      </x:c>
      <x:c r="G38" s="40" t="str">
        <x:v>Document management.</x:v>
      </x:c>
    </x:row>
    <x:row r="39">
      <x:c r="A39" s="40" t="str">
        <x:v>REL-036</x:v>
      </x:c>
      <x:c r="B39" s="40" t="str">
        <x:v>AI-006</x:v>
      </x:c>
      <x:c r="C39" s="40" t="str">
        <x:v>AIBOM-AI006-C03</x:v>
      </x:c>
      <x:c r="D39" s="40" t="str">
        <x:v>RETRIEVES_FROM</x:v>
      </x:c>
      <x:c r="E39" s="40" t="str">
        <x:v>AIBOM-AI006-C08</x:v>
      </x:c>
      <x:c r="F39" s="40" t="str">
        <x:v>Partial</x:v>
      </x:c>
      <x:c r="G39" s="40" t="str">
        <x:v>Code repositories.</x:v>
      </x:c>
    </x:row>
    <x:row r="40">
      <x:c r="A40" s="40" t="str">
        <x:v>REL-037</x:v>
      </x:c>
      <x:c r="B40" s="40" t="str">
        <x:v>AI-006</x:v>
      </x:c>
      <x:c r="C40" s="40" t="str">
        <x:v>AIBOM-AI006-C01</x:v>
      </x:c>
      <x:c r="D40" s="40" t="str">
        <x:v>AUTHENTICATES_VIA</x:v>
      </x:c>
      <x:c r="E40" s="40" t="str">
        <x:v>AIBOM-AI006-C09</x:v>
      </x:c>
      <x:c r="F40" s="40" t="str">
        <x:v>Partial</x:v>
      </x:c>
      <x:c r="G40" s="40" t="str">
        <x:v>Identity / authorization.</x:v>
      </x:c>
    </x:row>
    <x:row r="41">
      <x:c r="A41" s="40" t="str">
        <x:v>REL-038</x:v>
      </x:c>
      <x:c r="B41" s="40" t="str">
        <x:v>AI-006</x:v>
      </x:c>
      <x:c r="C41" s="40" t="str">
        <x:v>AIBOM-AI006-C03</x:v>
      </x:c>
      <x:c r="D41" s="40" t="str">
        <x:v>RETRIEVES_FROM</x:v>
      </x:c>
      <x:c r="E41" s="40" t="str">
        <x:v>AIBOM-AI006-C10</x:v>
      </x:c>
      <x:c r="F41" s="40" t="str">
        <x:v>Partial</x:v>
      </x:c>
      <x:c r="G41" s="40" t="str">
        <x:v>Knowledge base.</x:v>
      </x:c>
    </x:row>
    <x:row r="42">
      <x:c r="A42" s="40" t="str">
        <x:v>REL-039</x:v>
      </x:c>
      <x:c r="B42" s="40" t="str">
        <x:v>AI-006</x:v>
      </x:c>
      <x:c r="C42" s="40" t="str">
        <x:v>AIBOM-AI006-C01</x:v>
      </x:c>
      <x:c r="D42" s="40" t="str">
        <x:v>PROTECTED_BY</x:v>
      </x:c>
      <x:c r="E42" s="40" t="str">
        <x:v>AIBOM-AI006-C11</x:v>
      </x:c>
      <x:c r="F42" s="40" t="str">
        <x:v>Partial</x:v>
      </x:c>
      <x:c r="G42" s="40" t="str">
        <x:v>DLP/logging.</x:v>
      </x:c>
    </x:row>
    <x:row r="43">
      <x:c r="A43" s="40" t="str">
        <x:v>REL-040</x:v>
      </x:c>
      <x:c r="B43" s="40" t="str">
        <x:v>AI-007</x:v>
      </x:c>
      <x:c r="C43" s="40" t="str">
        <x:v>AIBOM-AI007-C01</x:v>
      </x:c>
      <x:c r="D43" s="40" t="str">
        <x:v>UNKNOWN_RELATIONSHIP</x:v>
      </x:c>
      <x:c r="E43" s="40" t="str">
        <x:v>AIBOM-AI007-C02</x:v>
      </x:c>
      <x:c r="F43" s="40" t="str">
        <x:v>Unknown</x:v>
      </x:c>
      <x:c r="G43" s="40" t="str">
        <x:v>Shadow condition; components must be discovered.</x:v>
      </x:c>
    </x:row>
    <x:row r="44">
      <x:c r="A44" s="40" t="str">
        <x:v>REL-041</x:v>
      </x:c>
      <x:c r="B44" s="40" t="str">
        <x:v>AI-007</x:v>
      </x:c>
      <x:c r="C44" s="40" t="str">
        <x:v>AIBOM-AI007-C01</x:v>
      </x:c>
      <x:c r="D44" s="40" t="str">
        <x:v>UNKNOWN_RELATIONSHIP</x:v>
      </x:c>
      <x:c r="E44" s="40" t="str">
        <x:v>AIBOM-AI007-C03</x:v>
      </x:c>
      <x:c r="F44" s="40" t="str">
        <x:v>Unknown</x:v>
      </x:c>
      <x:c r="G44" s="40" t="str">
        <x:v>Shadow condition; components must be discovered.</x:v>
      </x:c>
    </x:row>
    <x:row r="45">
      <x:c r="A45" s="40" t="str">
        <x:v>REL-042</x:v>
      </x:c>
      <x:c r="B45" s="40" t="str">
        <x:v>AI-007</x:v>
      </x:c>
      <x:c r="C45" s="40" t="str">
        <x:v>AIBOM-AI007-C01</x:v>
      </x:c>
      <x:c r="D45" s="40" t="str">
        <x:v>UNKNOWN_RELATIONSHIP</x:v>
      </x:c>
      <x:c r="E45" s="40" t="str">
        <x:v>AIBOM-AI007-C04</x:v>
      </x:c>
      <x:c r="F45" s="40" t="str">
        <x:v>Unknown</x:v>
      </x:c>
      <x:c r="G45" s="40" t="str">
        <x:v>Shadow condition; components must be discovered.</x:v>
      </x:c>
    </x:row>
  </x:sheetData>
  <x:mergeCells>
    <x:mergeCell ref="A1:G1"/>
  </x:mergeCells>
  <x:conditionalFormatting sqref="F4:F45">
    <x:cfRule type="expression" dxfId="8" priority="1">
      <x:formula>F4="Known"</x:formula>
    </x:cfRule>
    <x:cfRule type="expression" dxfId="9" priority="2">
      <x:formula>F4="Partial"</x:formula>
    </x:cfRule>
    <x:cfRule type="expression" dxfId="10" priority="3">
      <x:formula>F4="TBD"</x:formula>
    </x:cfRule>
    <x:cfRule type="expression" dxfId="11" priority="4">
      <x:formula>F4="Unknown"</x:formula>
    </x:cfRule>
  </x:conditionalFormatting>
  <x:dataValidations count="1">
    <x:dataValidation type="list" sqref="F4:F45">
      <x:formula1>"Known,Partial,TBD,Unknown"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8257633f548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6" hidden="0" customWidth="1"/>
    <x:col min="9" max="9" width="42" hidden="0" customWidth="1"/>
    <x:col min="10" max="10" width="18" hidden="0" customWidth="1"/>
    <x:col min="11" max="11" width="12" hidden="0" customWidth="1"/>
    <x:col min="12" max="12" width="14" hidden="0" customWidth="1"/>
    <x:col min="13" max="13" width="18" hidden="0" customWidth="1"/>
    <x:col min="14" max="14" width="13" hidden="0" customWidth="1"/>
    <x:col min="15" max="15" width="36" hidden="0" customWidth="1"/>
  </x:cols>
  <x:sheetData>
    <x:row r="1" ht="28" customHeight="1">
      <x:c r="A1" s="5" t="str">
        <x:v>DUCKWORKS | AIBOM DATA ASSET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33" t="str">
        <x:v>Data Asset ID</x:v>
      </x:c>
      <x:c r="B3" s="33" t="str">
        <x:v>AI ID</x:v>
      </x:c>
      <x:c r="C3" s="33" t="str">
        <x:v>Data Asset</x:v>
      </x:c>
      <x:c r="D3" s="33" t="str">
        <x:v>Role</x:v>
      </x:c>
      <x:c r="E3" s="33" t="str">
        <x:v>Classification</x:v>
      </x:c>
      <x:c r="F3" s="33" t="str">
        <x:v>Personal Data</x:v>
      </x:c>
      <x:c r="G3" s="33" t="str">
        <x:v>Sensitive Data</x:v>
      </x:c>
      <x:c r="H3" s="33" t="str">
        <x:v>Confidential / IP</x:v>
      </x:c>
      <x:c r="I3" s="33" t="str">
        <x:v>Provenance</x:v>
      </x:c>
      <x:c r="J3" s="33" t="str">
        <x:v>Rights / License</x:v>
      </x:c>
      <x:c r="K3" s="33" t="str">
        <x:v>Location</x:v>
      </x:c>
      <x:c r="L3" s="33" t="str">
        <x:v>Retention</x:v>
      </x:c>
      <x:c r="M3" s="33" t="str">
        <x:v>Quality Evidence</x:v>
      </x:c>
      <x:c r="N3" s="33" t="str">
        <x:v>Evidence Status</x:v>
      </x:c>
      <x:c r="O3" s="33" t="str">
        <x:v>Notes</x:v>
      </x:c>
    </x:row>
    <x:row r="4">
      <x:c r="A4" s="40" t="str">
        <x:v>DATA-AI001-01</x:v>
      </x:c>
      <x:c r="B4" s="40" t="str">
        <x:v>AI-001</x:v>
      </x:c>
      <x:c r="C4" s="40" t="str">
        <x:v>CAD files</x:v>
      </x:c>
      <x:c r="D4" s="40" t="str">
        <x:v>Inference / engineering reference</x:v>
      </x:c>
      <x:c r="E4" s="40" t="str">
        <x:v>Highly Confidential</x:v>
      </x:c>
      <x:c r="F4" s="40" t="str">
        <x:v>No</x:v>
      </x:c>
      <x:c r="G4" s="40" t="str">
        <x:v>No</x:v>
      </x:c>
      <x:c r="H4" s="40" t="str">
        <x:v>Yes</x:v>
      </x:c>
      <x:c r="I4" s="40" t="str">
        <x:v>Source category known; exact dataset/table/repository provenance to be evidenced</x:v>
      </x:c>
      <x:c r="J4" s="40" t="str">
        <x:v>TBD</x:v>
      </x:c>
      <x:c r="K4" s="40" t="str">
        <x:v>EU</x:v>
      </x:c>
      <x:c r="L4" s="40" t="str">
        <x:v>TBD</x:v>
      </x:c>
      <x:c r="M4" s="40" t="str">
        <x:v>TBD</x:v>
      </x:c>
      <x:c r="N4" s="40" t="str">
        <x:v>Partial</x:v>
      </x:c>
      <x:c r="O4" s="40" t="str">
        <x:v>Portfolio baseline only; no real data used.</x:v>
      </x:c>
    </x:row>
    <x:row r="5">
      <x:c r="A5" s="40" t="str">
        <x:v>DATA-AI001-02</x:v>
      </x:c>
      <x:c r="B5" s="40" t="str">
        <x:v>AI-001</x:v>
      </x:c>
      <x:c r="C5" s="40" t="str">
        <x:v>Product specifications</x:v>
      </x:c>
      <x:c r="D5" s="40" t="str">
        <x:v>Inference / engineering reference</x:v>
      </x:c>
      <x:c r="E5" s="40" t="str">
        <x:v>Highly Confidential</x:v>
      </x:c>
      <x:c r="F5" s="40" t="str">
        <x:v>No</x:v>
      </x:c>
      <x:c r="G5" s="40" t="str">
        <x:v>No</x:v>
      </x:c>
      <x:c r="H5" s="40" t="str">
        <x:v>Yes</x:v>
      </x:c>
      <x:c r="I5" s="40" t="str">
        <x:v>Source category known; exact dataset/table/repository provenance to be evidenced</x:v>
      </x:c>
      <x:c r="J5" s="40" t="str">
        <x:v>TBD</x:v>
      </x:c>
      <x:c r="K5" s="40" t="str">
        <x:v>EU</x:v>
      </x:c>
      <x:c r="L5" s="40" t="str">
        <x:v>TBD</x:v>
      </x:c>
      <x:c r="M5" s="40" t="str">
        <x:v>TBD</x:v>
      </x:c>
      <x:c r="N5" s="40" t="str">
        <x:v>Partial</x:v>
      </x:c>
      <x:c r="O5" s="40" t="str">
        <x:v>Portfolio baseline only; no real data used.</x:v>
      </x:c>
    </x:row>
    <x:row r="6">
      <x:c r="A6" s="40" t="str">
        <x:v>DATA-AI001-03</x:v>
      </x:c>
      <x:c r="B6" s="40" t="str">
        <x:v>AI-001</x:v>
      </x:c>
      <x:c r="C6" s="40" t="str">
        <x:v>Material characteristics</x:v>
      </x:c>
      <x:c r="D6" s="40" t="str">
        <x:v>Inference / engineering reference</x:v>
      </x:c>
      <x:c r="E6" s="40" t="str">
        <x:v>Highly Confidential</x:v>
      </x:c>
      <x:c r="F6" s="40" t="str">
        <x:v>No</x:v>
      </x:c>
      <x:c r="G6" s="40" t="str">
        <x:v>No</x:v>
      </x:c>
      <x:c r="H6" s="40" t="str">
        <x:v>Yes</x:v>
      </x:c>
      <x:c r="I6" s="40" t="str">
        <x:v>Source category known; exact dataset/table/repository provenance to be evidenced</x:v>
      </x:c>
      <x:c r="J6" s="40" t="str">
        <x:v>TBD</x:v>
      </x:c>
      <x:c r="K6" s="40" t="str">
        <x:v>EU</x:v>
      </x:c>
      <x:c r="L6" s="40" t="str">
        <x:v>TBD</x:v>
      </x:c>
      <x:c r="M6" s="40" t="str">
        <x:v>TBD</x:v>
      </x:c>
      <x:c r="N6" s="40" t="str">
        <x:v>Partial</x:v>
      </x:c>
      <x:c r="O6" s="40" t="str">
        <x:v>Portfolio baseline only; no real data used.</x:v>
      </x:c>
    </x:row>
    <x:row r="7">
      <x:c r="A7" s="40" t="str">
        <x:v>DATA-AI001-04</x:v>
      </x:c>
      <x:c r="B7" s="40" t="str">
        <x:v>AI-001</x:v>
      </x:c>
      <x:c r="C7" s="40" t="str">
        <x:v>Historical designs</x:v>
      </x:c>
      <x:c r="D7" s="40" t="str">
        <x:v>Inference / engineering reference</x:v>
      </x:c>
      <x:c r="E7" s="40" t="str">
        <x:v>Highly Confidential</x:v>
      </x:c>
      <x:c r="F7" s="40" t="str">
        <x:v>No</x:v>
      </x:c>
      <x:c r="G7" s="40" t="str">
        <x:v>No</x:v>
      </x:c>
      <x:c r="H7" s="40" t="str">
        <x:v>Yes</x:v>
      </x:c>
      <x:c r="I7" s="40" t="str">
        <x:v>Source category known; exact dataset/table/repository provenance to be evidenced</x:v>
      </x:c>
      <x:c r="J7" s="40" t="str">
        <x:v>TBD</x:v>
      </x:c>
      <x:c r="K7" s="40" t="str">
        <x:v>EU</x:v>
      </x:c>
      <x:c r="L7" s="40" t="str">
        <x:v>TBD</x:v>
      </x:c>
      <x:c r="M7" s="40" t="str">
        <x:v>TBD</x:v>
      </x:c>
      <x:c r="N7" s="40" t="str">
        <x:v>Partial</x:v>
      </x:c>
      <x:c r="O7" s="40" t="str">
        <x:v>Portfolio baseline only; no real data used.</x:v>
      </x:c>
    </x:row>
    <x:row r="8">
      <x:c r="A8" s="40" t="str">
        <x:v>DATA-AI001-05</x:v>
      </x:c>
      <x:c r="B8" s="40" t="str">
        <x:v>AI-001</x:v>
      </x:c>
      <x:c r="C8" s="40" t="str">
        <x:v>Test results</x:v>
      </x:c>
      <x:c r="D8" s="40" t="str">
        <x:v>Inference / engineering reference</x:v>
      </x:c>
      <x:c r="E8" s="40" t="str">
        <x:v>Highly Confidential</x:v>
      </x:c>
      <x:c r="F8" s="40" t="str">
        <x:v>No</x:v>
      </x:c>
      <x:c r="G8" s="40" t="str">
        <x:v>No</x:v>
      </x:c>
      <x:c r="H8" s="40" t="str">
        <x:v>Yes</x:v>
      </x:c>
      <x:c r="I8" s="40" t="str">
        <x:v>Source category known; exact dataset/table/repository provenance to be evidenced</x:v>
      </x:c>
      <x:c r="J8" s="40" t="str">
        <x:v>TBD</x:v>
      </x:c>
      <x:c r="K8" s="40" t="str">
        <x:v>EU</x:v>
      </x:c>
      <x:c r="L8" s="40" t="str">
        <x:v>TBD</x:v>
      </x:c>
      <x:c r="M8" s="40" t="str">
        <x:v>TBD</x:v>
      </x:c>
      <x:c r="N8" s="40" t="str">
        <x:v>Partial</x:v>
      </x:c>
      <x:c r="O8" s="40" t="str">
        <x:v>Portfolio baseline only; no real data used.</x:v>
      </x:c>
    </x:row>
    <x:row r="9">
      <x:c r="A9" s="40" t="str">
        <x:v>DATA-AI002-01</x:v>
      </x:c>
      <x:c r="B9" s="40" t="str">
        <x:v>AI-002</x:v>
      </x:c>
      <x:c r="C9" s="40" t="str">
        <x:v>Customer queries</x:v>
      </x:c>
      <x:c r="D9" s="40" t="str">
        <x:v>Inference / RAG / interaction</x:v>
      </x:c>
      <x:c r="E9" s="40" t="str">
        <x:v>Mixed</x:v>
      </x:c>
      <x:c r="F9" s="40" t="str">
        <x:v>Yes/Conditional</x:v>
      </x:c>
      <x:c r="G9" s="40" t="str">
        <x:v>Potentially</x:v>
      </x:c>
      <x:c r="H9" s="40" t="str">
        <x:v>Potentially</x:v>
      </x:c>
      <x:c r="I9" s="40" t="str">
        <x:v>Source category known; exact dataset/table/repository provenance to be evidenced</x:v>
      </x:c>
      <x:c r="J9" s="40" t="str">
        <x:v>TBD</x:v>
      </x:c>
      <x:c r="K9" s="40" t="str">
        <x:v>EU</x:v>
      </x:c>
      <x:c r="L9" s="40" t="str">
        <x:v>TBD</x:v>
      </x:c>
      <x:c r="M9" s="40" t="str">
        <x:v>TBD</x:v>
      </x:c>
      <x:c r="N9" s="40" t="str">
        <x:v>Partial</x:v>
      </x:c>
      <x:c r="O9" s="40" t="str">
        <x:v>Portfolio baseline only; no real data used.</x:v>
      </x:c>
    </x:row>
    <x:row r="10">
      <x:c r="A10" s="40" t="str">
        <x:v>DATA-AI002-02</x:v>
      </x:c>
      <x:c r="B10" s="40" t="str">
        <x:v>AI-002</x:v>
      </x:c>
      <x:c r="C10" s="40" t="str">
        <x:v>Product manuals</x:v>
      </x:c>
      <x:c r="D10" s="40" t="str">
        <x:v>Inference / RAG / interaction</x:v>
      </x:c>
      <x:c r="E10" s="40" t="str">
        <x:v>Mixed</x:v>
      </x:c>
      <x:c r="F10" s="40" t="str">
        <x:v>Yes/Conditional</x:v>
      </x:c>
      <x:c r="G10" s="40" t="str">
        <x:v>Potentially</x:v>
      </x:c>
      <x:c r="H10" s="40" t="str">
        <x:v>Potentially</x:v>
      </x:c>
      <x:c r="I10" s="40" t="str">
        <x:v>Source category known; exact dataset/table/repository provenance to be evidenced</x:v>
      </x:c>
      <x:c r="J10" s="40" t="str">
        <x:v>TBD</x:v>
      </x:c>
      <x:c r="K10" s="40" t="str">
        <x:v>EU</x:v>
      </x:c>
      <x:c r="L10" s="40" t="str">
        <x:v>TBD</x:v>
      </x:c>
      <x:c r="M10" s="40" t="str">
        <x:v>TBD</x:v>
      </x:c>
      <x:c r="N10" s="40" t="str">
        <x:v>Partial</x:v>
      </x:c>
      <x:c r="O10" s="40" t="str">
        <x:v>Portfolio baseline only; no real data used.</x:v>
      </x:c>
    </x:row>
    <x:row r="11">
      <x:c r="A11" s="40" t="str">
        <x:v>DATA-AI002-03</x:v>
      </x:c>
      <x:c r="B11" s="40" t="str">
        <x:v>AI-002</x:v>
      </x:c>
      <x:c r="C11" s="40" t="str">
        <x:v>Warranty documents</x:v>
      </x:c>
      <x:c r="D11" s="40" t="str">
        <x:v>Inference / RAG / interaction</x:v>
      </x:c>
      <x:c r="E11" s="40" t="str">
        <x:v>Mixed</x:v>
      </x:c>
      <x:c r="F11" s="40" t="str">
        <x:v>Yes/Conditional</x:v>
      </x:c>
      <x:c r="G11" s="40" t="str">
        <x:v>Potentially</x:v>
      </x:c>
      <x:c r="H11" s="40" t="str">
        <x:v>Potentially</x:v>
      </x:c>
      <x:c r="I11" s="40" t="str">
        <x:v>Source category known; exact dataset/table/repository provenance to be evidenced</x:v>
      </x:c>
      <x:c r="J11" s="40" t="str">
        <x:v>TBD</x:v>
      </x:c>
      <x:c r="K11" s="40" t="str">
        <x:v>EU</x:v>
      </x:c>
      <x:c r="L11" s="40" t="str">
        <x:v>TBD</x:v>
      </x:c>
      <x:c r="M11" s="40" t="str">
        <x:v>TBD</x:v>
      </x:c>
      <x:c r="N11" s="40" t="str">
        <x:v>Partial</x:v>
      </x:c>
      <x:c r="O11" s="40" t="str">
        <x:v>Portfolio baseline only; no real data used.</x:v>
      </x:c>
    </x:row>
    <x:row r="12">
      <x:c r="A12" s="40" t="str">
        <x:v>DATA-AI002-04</x:v>
      </x:c>
      <x:c r="B12" s="40" t="str">
        <x:v>AI-002</x:v>
      </x:c>
      <x:c r="C12" s="40" t="str">
        <x:v>Support knowledge base</x:v>
      </x:c>
      <x:c r="D12" s="40" t="str">
        <x:v>Inference / RAG / interaction</x:v>
      </x:c>
      <x:c r="E12" s="40" t="str">
        <x:v>Mixed</x:v>
      </x:c>
      <x:c r="F12" s="40" t="str">
        <x:v>Yes/Conditional</x:v>
      </x:c>
      <x:c r="G12" s="40" t="str">
        <x:v>Potentially</x:v>
      </x:c>
      <x:c r="H12" s="40" t="str">
        <x:v>Potentially</x:v>
      </x:c>
      <x:c r="I12" s="40" t="str">
        <x:v>Source category known; exact dataset/table/repository provenance to be evidenced</x:v>
      </x:c>
      <x:c r="J12" s="40" t="str">
        <x:v>TBD</x:v>
      </x:c>
      <x:c r="K12" s="40" t="str">
        <x:v>EU</x:v>
      </x:c>
      <x:c r="L12" s="40" t="str">
        <x:v>TBD</x:v>
      </x:c>
      <x:c r="M12" s="40" t="str">
        <x:v>TBD</x:v>
      </x:c>
      <x:c r="N12" s="40" t="str">
        <x:v>Partial</x:v>
      </x:c>
      <x:c r="O12" s="40" t="str">
        <x:v>Portfolio baseline only; no real data used.</x:v>
      </x:c>
    </x:row>
    <x:row r="13">
      <x:c r="A13" s="40" t="str">
        <x:v>DATA-AI003-01</x:v>
      </x:c>
      <x:c r="B13" s="40" t="str">
        <x:v>AI-003</x:v>
      </x:c>
      <x:c r="C13" s="40" t="str">
        <x:v>Sales history</x:v>
      </x:c>
      <x:c r="D13" s="40" t="str">
        <x:v>Model input / forecasting</x:v>
      </x:c>
      <x:c r="E13" s="40" t="str">
        <x:v>Confidential</x:v>
      </x:c>
      <x:c r="F13" s="40" t="str">
        <x:v>No</x:v>
      </x:c>
      <x:c r="G13" s="40" t="str">
        <x:v>No</x:v>
      </x:c>
      <x:c r="H13" s="40" t="str">
        <x:v>Yes</x:v>
      </x:c>
      <x:c r="I13" s="40" t="str">
        <x:v>Source category known; exact dataset/table/repository provenance to be evidenced</x:v>
      </x:c>
      <x:c r="J13" s="40" t="str">
        <x:v>TBD</x:v>
      </x:c>
      <x:c r="K13" s="40" t="str">
        <x:v>EU</x:v>
      </x:c>
      <x:c r="L13" s="40" t="str">
        <x:v>TBD</x:v>
      </x:c>
      <x:c r="M13" s="40" t="str">
        <x:v>TBD</x:v>
      </x:c>
      <x:c r="N13" s="40" t="str">
        <x:v>Partial</x:v>
      </x:c>
      <x:c r="O13" s="40" t="str">
        <x:v>Portfolio baseline only; no real data used.</x:v>
      </x:c>
    </x:row>
    <x:row r="14">
      <x:c r="A14" s="40" t="str">
        <x:v>DATA-AI003-02</x:v>
      </x:c>
      <x:c r="B14" s="40" t="str">
        <x:v>AI-003</x:v>
      </x:c>
      <x:c r="C14" s="40" t="str">
        <x:v>Inventory data</x:v>
      </x:c>
      <x:c r="D14" s="40" t="str">
        <x:v>Model input / forecasting</x:v>
      </x:c>
      <x:c r="E14" s="40" t="str">
        <x:v>Confidential</x:v>
      </x:c>
      <x:c r="F14" s="40" t="str">
        <x:v>No</x:v>
      </x:c>
      <x:c r="G14" s="40" t="str">
        <x:v>No</x:v>
      </x:c>
      <x:c r="H14" s="40" t="str">
        <x:v>Yes</x:v>
      </x:c>
      <x:c r="I14" s="40" t="str">
        <x:v>Source category known; exact dataset/table/repository provenance to be evidenced</x:v>
      </x:c>
      <x:c r="J14" s="40" t="str">
        <x:v>TBD</x:v>
      </x:c>
      <x:c r="K14" s="40" t="str">
        <x:v>EU</x:v>
      </x:c>
      <x:c r="L14" s="40" t="str">
        <x:v>TBD</x:v>
      </x:c>
      <x:c r="M14" s="40" t="str">
        <x:v>TBD</x:v>
      </x:c>
      <x:c r="N14" s="40" t="str">
        <x:v>Partial</x:v>
      </x:c>
      <x:c r="O14" s="40" t="str">
        <x:v>Portfolio baseline only; no real data used.</x:v>
      </x:c>
    </x:row>
    <x:row r="15">
      <x:c r="A15" s="40" t="str">
        <x:v>DATA-AI003-03</x:v>
      </x:c>
      <x:c r="B15" s="40" t="str">
        <x:v>AI-003</x:v>
      </x:c>
      <x:c r="C15" s="40" t="str">
        <x:v>Supplier data</x:v>
      </x:c>
      <x:c r="D15" s="40" t="str">
        <x:v>Model input / forecasting</x:v>
      </x:c>
      <x:c r="E15" s="40" t="str">
        <x:v>Confidential</x:v>
      </x:c>
      <x:c r="F15" s="40" t="str">
        <x:v>No</x:v>
      </x:c>
      <x:c r="G15" s="40" t="str">
        <x:v>No</x:v>
      </x:c>
      <x:c r="H15" s="40" t="str">
        <x:v>Yes</x:v>
      </x:c>
      <x:c r="I15" s="40" t="str">
        <x:v>Source category known; exact dataset/table/repository provenance to be evidenced</x:v>
      </x:c>
      <x:c r="J15" s="40" t="str">
        <x:v>TBD</x:v>
      </x:c>
      <x:c r="K15" s="40" t="str">
        <x:v>EU</x:v>
      </x:c>
      <x:c r="L15" s="40" t="str">
        <x:v>TBD</x:v>
      </x:c>
      <x:c r="M15" s="40" t="str">
        <x:v>TBD</x:v>
      </x:c>
      <x:c r="N15" s="40" t="str">
        <x:v>Partial</x:v>
      </x:c>
      <x:c r="O15" s="40" t="str">
        <x:v>Portfolio baseline only; no real data used.</x:v>
      </x:c>
    </x:row>
    <x:row r="16">
      <x:c r="A16" s="40" t="str">
        <x:v>DATA-AI003-04</x:v>
      </x:c>
      <x:c r="B16" s="40" t="str">
        <x:v>AI-003</x:v>
      </x:c>
      <x:c r="C16" s="40" t="str">
        <x:v>Production volumes</x:v>
      </x:c>
      <x:c r="D16" s="40" t="str">
        <x:v>Model input / forecasting</x:v>
      </x:c>
      <x:c r="E16" s="40" t="str">
        <x:v>Confidential</x:v>
      </x:c>
      <x:c r="F16" s="40" t="str">
        <x:v>No</x:v>
      </x:c>
      <x:c r="G16" s="40" t="str">
        <x:v>No</x:v>
      </x:c>
      <x:c r="H16" s="40" t="str">
        <x:v>Yes</x:v>
      </x:c>
      <x:c r="I16" s="40" t="str">
        <x:v>Source category known; exact dataset/table/repository provenance to be evidenced</x:v>
      </x:c>
      <x:c r="J16" s="40" t="str">
        <x:v>TBD</x:v>
      </x:c>
      <x:c r="K16" s="40" t="str">
        <x:v>EU</x:v>
      </x:c>
      <x:c r="L16" s="40" t="str">
        <x:v>TBD</x:v>
      </x:c>
      <x:c r="M16" s="40" t="str">
        <x:v>TBD</x:v>
      </x:c>
      <x:c r="N16" s="40" t="str">
        <x:v>Partial</x:v>
      </x:c>
      <x:c r="O16" s="40" t="str">
        <x:v>Portfolio baseline only; no real data used.</x:v>
      </x:c>
    </x:row>
    <x:row r="17">
      <x:c r="A17" s="40" t="str">
        <x:v>DATA-AI003-05</x:v>
      </x:c>
      <x:c r="B17" s="40" t="str">
        <x:v>AI-003</x:v>
      </x:c>
      <x:c r="C17" s="40" t="str">
        <x:v>Shipment data</x:v>
      </x:c>
      <x:c r="D17" s="40" t="str">
        <x:v>Model input / forecasting</x:v>
      </x:c>
      <x:c r="E17" s="40" t="str">
        <x:v>Confidential</x:v>
      </x:c>
      <x:c r="F17" s="40" t="str">
        <x:v>No</x:v>
      </x:c>
      <x:c r="G17" s="40" t="str">
        <x:v>No</x:v>
      </x:c>
      <x:c r="H17" s="40" t="str">
        <x:v>Yes</x:v>
      </x:c>
      <x:c r="I17" s="40" t="str">
        <x:v>Source category known; exact dataset/table/repository provenance to be evidenced</x:v>
      </x:c>
      <x:c r="J17" s="40" t="str">
        <x:v>TBD</x:v>
      </x:c>
      <x:c r="K17" s="40" t="str">
        <x:v>EU</x:v>
      </x:c>
      <x:c r="L17" s="40" t="str">
        <x:v>TBD</x:v>
      </x:c>
      <x:c r="M17" s="40" t="str">
        <x:v>TBD</x:v>
      </x:c>
      <x:c r="N17" s="40" t="str">
        <x:v>Partial</x:v>
      </x:c>
      <x:c r="O17" s="40" t="str">
        <x:v>Portfolio baseline only; no real data used.</x:v>
      </x:c>
    </x:row>
    <x:row r="18">
      <x:c r="A18" s="40" t="str">
        <x:v>DATA-AI003-06</x:v>
      </x:c>
      <x:c r="B18" s="40" t="str">
        <x:v>AI-003</x:v>
      </x:c>
      <x:c r="C18" s="40" t="str">
        <x:v>Market indicators</x:v>
      </x:c>
      <x:c r="D18" s="40" t="str">
        <x:v>Model input / forecasting</x:v>
      </x:c>
      <x:c r="E18" s="40" t="str">
        <x:v>Confidential</x:v>
      </x:c>
      <x:c r="F18" s="40" t="str">
        <x:v>No</x:v>
      </x:c>
      <x:c r="G18" s="40" t="str">
        <x:v>No</x:v>
      </x:c>
      <x:c r="H18" s="40" t="str">
        <x:v>Yes</x:v>
      </x:c>
      <x:c r="I18" s="40" t="str">
        <x:v>Source category known; exact dataset/table/repository provenance to be evidenced</x:v>
      </x:c>
      <x:c r="J18" s="40" t="str">
        <x:v>TBD</x:v>
      </x:c>
      <x:c r="K18" s="40" t="str">
        <x:v>EU</x:v>
      </x:c>
      <x:c r="L18" s="40" t="str">
        <x:v>TBD</x:v>
      </x:c>
      <x:c r="M18" s="40" t="str">
        <x:v>TBD</x:v>
      </x:c>
      <x:c r="N18" s="40" t="str">
        <x:v>Partial</x:v>
      </x:c>
      <x:c r="O18" s="40" t="str">
        <x:v>Portfolio baseline only; no real data used.</x:v>
      </x:c>
    </x:row>
    <x:row r="19">
      <x:c r="A19" s="40" t="str">
        <x:v>DATA-AI004-01</x:v>
      </x:c>
      <x:c r="B19" s="40" t="str">
        <x:v>AI-004</x:v>
      </x:c>
      <x:c r="C19" s="40" t="str">
        <x:v>Production-line images</x:v>
      </x:c>
      <x:c r="D19" s="40" t="str">
        <x:v>Training/evaluation/inference or reference — exact role TBD</x:v>
      </x:c>
      <x:c r="E19" s="40" t="str">
        <x:v>Confidential</x:v>
      </x:c>
      <x:c r="F19" s="40" t="str">
        <x:v>No</x:v>
      </x:c>
      <x:c r="G19" s="40" t="str">
        <x:v>No</x:v>
      </x:c>
      <x:c r="H19" s="40" t="str">
        <x:v>Yes</x:v>
      </x:c>
      <x:c r="I19" s="40" t="str">
        <x:v>Source category known; exact dataset/table/repository provenance to be evidenced</x:v>
      </x:c>
      <x:c r="J19" s="40" t="str">
        <x:v>TBD</x:v>
      </x:c>
      <x:c r="K19" s="40" t="str">
        <x:v>EU</x:v>
      </x:c>
      <x:c r="L19" s="40" t="str">
        <x:v>TBD</x:v>
      </x:c>
      <x:c r="M19" s="40" t="str">
        <x:v>TBD</x:v>
      </x:c>
      <x:c r="N19" s="40" t="str">
        <x:v>Partial</x:v>
      </x:c>
      <x:c r="O19" s="40" t="str">
        <x:v>Portfolio baseline only; no real data used.</x:v>
      </x:c>
    </x:row>
    <x:row r="20">
      <x:c r="A20" s="40" t="str">
        <x:v>DATA-AI004-02</x:v>
      </x:c>
      <x:c r="B20" s="40" t="str">
        <x:v>AI-004</x:v>
      </x:c>
      <x:c r="C20" s="40" t="str">
        <x:v>Defect images</x:v>
      </x:c>
      <x:c r="D20" s="40" t="str">
        <x:v>Training/evaluation/inference or reference — exact role TBD</x:v>
      </x:c>
      <x:c r="E20" s="40" t="str">
        <x:v>Confidential</x:v>
      </x:c>
      <x:c r="F20" s="40" t="str">
        <x:v>No</x:v>
      </x:c>
      <x:c r="G20" s="40" t="str">
        <x:v>No</x:v>
      </x:c>
      <x:c r="H20" s="40" t="str">
        <x:v>Yes</x:v>
      </x:c>
      <x:c r="I20" s="40" t="str">
        <x:v>Source category known; exact dataset/table/repository provenance to be evidenced</x:v>
      </x:c>
      <x:c r="J20" s="40" t="str">
        <x:v>TBD</x:v>
      </x:c>
      <x:c r="K20" s="40" t="str">
        <x:v>EU</x:v>
      </x:c>
      <x:c r="L20" s="40" t="str">
        <x:v>TBD</x:v>
      </x:c>
      <x:c r="M20" s="40" t="str">
        <x:v>TBD</x:v>
      </x:c>
      <x:c r="N20" s="40" t="str">
        <x:v>Partial</x:v>
      </x:c>
      <x:c r="O20" s="40" t="str">
        <x:v>Portfolio baseline only; no real data used.</x:v>
      </x:c>
    </x:row>
    <x:row r="21">
      <x:c r="A21" s="40" t="str">
        <x:v>DATA-AI004-03</x:v>
      </x:c>
      <x:c r="B21" s="40" t="str">
        <x:v>AI-004</x:v>
      </x:c>
      <x:c r="C21" s="40" t="str">
        <x:v>Product specifications</x:v>
      </x:c>
      <x:c r="D21" s="40" t="str">
        <x:v>Training/evaluation/inference or reference — exact role TBD</x:v>
      </x:c>
      <x:c r="E21" s="40" t="str">
        <x:v>Confidential</x:v>
      </x:c>
      <x:c r="F21" s="40" t="str">
        <x:v>No</x:v>
      </x:c>
      <x:c r="G21" s="40" t="str">
        <x:v>No</x:v>
      </x:c>
      <x:c r="H21" s="40" t="str">
        <x:v>Yes</x:v>
      </x:c>
      <x:c r="I21" s="40" t="str">
        <x:v>Source category known; exact dataset/table/repository provenance to be evidenced</x:v>
      </x:c>
      <x:c r="J21" s="40" t="str">
        <x:v>TBD</x:v>
      </x:c>
      <x:c r="K21" s="40" t="str">
        <x:v>EU</x:v>
      </x:c>
      <x:c r="L21" s="40" t="str">
        <x:v>TBD</x:v>
      </x:c>
      <x:c r="M21" s="40" t="str">
        <x:v>TBD</x:v>
      </x:c>
      <x:c r="N21" s="40" t="str">
        <x:v>Partial</x:v>
      </x:c>
      <x:c r="O21" s="40" t="str">
        <x:v>Portfolio baseline only; no real data used.</x:v>
      </x:c>
    </x:row>
    <x:row r="22">
      <x:c r="A22" s="40" t="str">
        <x:v>DATA-AI004-04</x:v>
      </x:c>
      <x:c r="B22" s="40" t="str">
        <x:v>AI-004</x:v>
      </x:c>
      <x:c r="C22" s="40" t="str">
        <x:v>Inspection results</x:v>
      </x:c>
      <x:c r="D22" s="40" t="str">
        <x:v>Training/evaluation/inference or reference — exact role TBD</x:v>
      </x:c>
      <x:c r="E22" s="40" t="str">
        <x:v>Confidential</x:v>
      </x:c>
      <x:c r="F22" s="40" t="str">
        <x:v>No</x:v>
      </x:c>
      <x:c r="G22" s="40" t="str">
        <x:v>No</x:v>
      </x:c>
      <x:c r="H22" s="40" t="str">
        <x:v>Yes</x:v>
      </x:c>
      <x:c r="I22" s="40" t="str">
        <x:v>Source category known; exact dataset/table/repository provenance to be evidenced</x:v>
      </x:c>
      <x:c r="J22" s="40" t="str">
        <x:v>TBD</x:v>
      </x:c>
      <x:c r="K22" s="40" t="str">
        <x:v>EU</x:v>
      </x:c>
      <x:c r="L22" s="40" t="str">
        <x:v>TBD</x:v>
      </x:c>
      <x:c r="M22" s="40" t="str">
        <x:v>TBD</x:v>
      </x:c>
      <x:c r="N22" s="40" t="str">
        <x:v>Partial</x:v>
      </x:c>
      <x:c r="O22" s="40" t="str">
        <x:v>Portfolio baseline only; no real data used.</x:v>
      </x:c>
    </x:row>
    <x:row r="23">
      <x:c r="A23" s="40" t="str">
        <x:v>DATA-AI005-01</x:v>
      </x:c>
      <x:c r="B23" s="40" t="str">
        <x:v>AI-005</x:v>
      </x:c>
      <x:c r="C23" s="40" t="str">
        <x:v>CVs</x:v>
      </x:c>
      <x:c r="D23" s="40" t="str">
        <x:v>Planned inference / ranking input</x:v>
      </x:c>
      <x:c r="E23" s="40" t="str">
        <x:v>Highly Confidential</x:v>
      </x:c>
      <x:c r="F23" s="40" t="str">
        <x:v>Yes</x:v>
      </x:c>
      <x:c r="G23" s="40" t="str">
        <x:v>Potentially</x:v>
      </x:c>
      <x:c r="H23" s="40" t="str">
        <x:v>No</x:v>
      </x:c>
      <x:c r="I23" s="40" t="str">
        <x:v>Source category known; exact dataset/table/repository provenance to be evidenced</x:v>
      </x:c>
      <x:c r="J23" s="40" t="str">
        <x:v>TBD</x:v>
      </x:c>
      <x:c r="K23" s="40" t="str">
        <x:v>TBD</x:v>
      </x:c>
      <x:c r="L23" s="40" t="str">
        <x:v>TBD</x:v>
      </x:c>
      <x:c r="M23" s="40" t="str">
        <x:v>TBD</x:v>
      </x:c>
      <x:c r="N23" s="40" t="str">
        <x:v>TBD</x:v>
      </x:c>
      <x:c r="O23" s="40" t="str">
        <x:v>Portfolio baseline only; no real data used.</x:v>
      </x:c>
    </x:row>
    <x:row r="24">
      <x:c r="A24" s="40" t="str">
        <x:v>DATA-AI005-02</x:v>
      </x:c>
      <x:c r="B24" s="40" t="str">
        <x:v>AI-005</x:v>
      </x:c>
      <x:c r="C24" s="40" t="str">
        <x:v>Application forms</x:v>
      </x:c>
      <x:c r="D24" s="40" t="str">
        <x:v>Planned inference / ranking input</x:v>
      </x:c>
      <x:c r="E24" s="40" t="str">
        <x:v>Highly Confidential</x:v>
      </x:c>
      <x:c r="F24" s="40" t="str">
        <x:v>Yes</x:v>
      </x:c>
      <x:c r="G24" s="40" t="str">
        <x:v>Potentially</x:v>
      </x:c>
      <x:c r="H24" s="40" t="str">
        <x:v>No</x:v>
      </x:c>
      <x:c r="I24" s="40" t="str">
        <x:v>Source category known; exact dataset/table/repository provenance to be evidenced</x:v>
      </x:c>
      <x:c r="J24" s="40" t="str">
        <x:v>TBD</x:v>
      </x:c>
      <x:c r="K24" s="40" t="str">
        <x:v>TBD</x:v>
      </x:c>
      <x:c r="L24" s="40" t="str">
        <x:v>TBD</x:v>
      </x:c>
      <x:c r="M24" s="40" t="str">
        <x:v>TBD</x:v>
      </x:c>
      <x:c r="N24" s="40" t="str">
        <x:v>TBD</x:v>
      </x:c>
      <x:c r="O24" s="40" t="str">
        <x:v>Portfolio baseline only; no real data used.</x:v>
      </x:c>
    </x:row>
    <x:row r="25">
      <x:c r="A25" s="40" t="str">
        <x:v>DATA-AI005-03</x:v>
      </x:c>
      <x:c r="B25" s="40" t="str">
        <x:v>AI-005</x:v>
      </x:c>
      <x:c r="C25" s="40" t="str">
        <x:v>Qualifications</x:v>
      </x:c>
      <x:c r="D25" s="40" t="str">
        <x:v>Planned inference / ranking input</x:v>
      </x:c>
      <x:c r="E25" s="40" t="str">
        <x:v>Highly Confidential</x:v>
      </x:c>
      <x:c r="F25" s="40" t="str">
        <x:v>Yes</x:v>
      </x:c>
      <x:c r="G25" s="40" t="str">
        <x:v>Potentially</x:v>
      </x:c>
      <x:c r="H25" s="40" t="str">
        <x:v>No</x:v>
      </x:c>
      <x:c r="I25" s="40" t="str">
        <x:v>Source category known; exact dataset/table/repository provenance to be evidenced</x:v>
      </x:c>
      <x:c r="J25" s="40" t="str">
        <x:v>TBD</x:v>
      </x:c>
      <x:c r="K25" s="40" t="str">
        <x:v>TBD</x:v>
      </x:c>
      <x:c r="L25" s="40" t="str">
        <x:v>TBD</x:v>
      </x:c>
      <x:c r="M25" s="40" t="str">
        <x:v>TBD</x:v>
      </x:c>
      <x:c r="N25" s="40" t="str">
        <x:v>TBD</x:v>
      </x:c>
      <x:c r="O25" s="40" t="str">
        <x:v>Portfolio baseline only; no real data used.</x:v>
      </x:c>
    </x:row>
    <x:row r="26">
      <x:c r="A26" s="40" t="str">
        <x:v>DATA-AI005-04</x:v>
      </x:c>
      <x:c r="B26" s="40" t="str">
        <x:v>AI-005</x:v>
      </x:c>
      <x:c r="C26" s="40" t="str">
        <x:v>Employment history</x:v>
      </x:c>
      <x:c r="D26" s="40" t="str">
        <x:v>Planned inference / ranking input</x:v>
      </x:c>
      <x:c r="E26" s="40" t="str">
        <x:v>Highly Confidential</x:v>
      </x:c>
      <x:c r="F26" s="40" t="str">
        <x:v>Yes</x:v>
      </x:c>
      <x:c r="G26" s="40" t="str">
        <x:v>Potentially</x:v>
      </x:c>
      <x:c r="H26" s="40" t="str">
        <x:v>No</x:v>
      </x:c>
      <x:c r="I26" s="40" t="str">
        <x:v>Source category known; exact dataset/table/repository provenance to be evidenced</x:v>
      </x:c>
      <x:c r="J26" s="40" t="str">
        <x:v>TBD</x:v>
      </x:c>
      <x:c r="K26" s="40" t="str">
        <x:v>TBD</x:v>
      </x:c>
      <x:c r="L26" s="40" t="str">
        <x:v>TBD</x:v>
      </x:c>
      <x:c r="M26" s="40" t="str">
        <x:v>TBD</x:v>
      </x:c>
      <x:c r="N26" s="40" t="str">
        <x:v>TBD</x:v>
      </x:c>
      <x:c r="O26" s="40" t="str">
        <x:v>Portfolio baseline only; no real data used.</x:v>
      </x:c>
    </x:row>
    <x:row r="27">
      <x:c r="A27" s="40" t="str">
        <x:v>DATA-AI005-05</x:v>
      </x:c>
      <x:c r="B27" s="40" t="str">
        <x:v>AI-005</x:v>
      </x:c>
      <x:c r="C27" s="40" t="str">
        <x:v>Skills</x:v>
      </x:c>
      <x:c r="D27" s="40" t="str">
        <x:v>Planned inference / ranking input</x:v>
      </x:c>
      <x:c r="E27" s="40" t="str">
        <x:v>Highly Confidential</x:v>
      </x:c>
      <x:c r="F27" s="40" t="str">
        <x:v>Yes</x:v>
      </x:c>
      <x:c r="G27" s="40" t="str">
        <x:v>Potentially</x:v>
      </x:c>
      <x:c r="H27" s="40" t="str">
        <x:v>No</x:v>
      </x:c>
      <x:c r="I27" s="40" t="str">
        <x:v>Source category known; exact dataset/table/repository provenance to be evidenced</x:v>
      </x:c>
      <x:c r="J27" s="40" t="str">
        <x:v>TBD</x:v>
      </x:c>
      <x:c r="K27" s="40" t="str">
        <x:v>TBD</x:v>
      </x:c>
      <x:c r="L27" s="40" t="str">
        <x:v>TBD</x:v>
      </x:c>
      <x:c r="M27" s="40" t="str">
        <x:v>TBD</x:v>
      </x:c>
      <x:c r="N27" s="40" t="str">
        <x:v>TBD</x:v>
      </x:c>
      <x:c r="O27" s="40" t="str">
        <x:v>Portfolio baseline only; no real data used.</x:v>
      </x:c>
    </x:row>
    <x:row r="28">
      <x:c r="A28" s="40" t="str">
        <x:v>DATA-AI005-06</x:v>
      </x:c>
      <x:c r="B28" s="40" t="str">
        <x:v>AI-005</x:v>
      </x:c>
      <x:c r="C28" s="40" t="str">
        <x:v>Interview information</x:v>
      </x:c>
      <x:c r="D28" s="40" t="str">
        <x:v>Planned inference / ranking input</x:v>
      </x:c>
      <x:c r="E28" s="40" t="str">
        <x:v>Highly Confidential</x:v>
      </x:c>
      <x:c r="F28" s="40" t="str">
        <x:v>Yes</x:v>
      </x:c>
      <x:c r="G28" s="40" t="str">
        <x:v>Potentially</x:v>
      </x:c>
      <x:c r="H28" s="40" t="str">
        <x:v>No</x:v>
      </x:c>
      <x:c r="I28" s="40" t="str">
        <x:v>Source category known; exact dataset/table/repository provenance to be evidenced</x:v>
      </x:c>
      <x:c r="J28" s="40" t="str">
        <x:v>TBD</x:v>
      </x:c>
      <x:c r="K28" s="40" t="str">
        <x:v>TBD</x:v>
      </x:c>
      <x:c r="L28" s="40" t="str">
        <x:v>TBD</x:v>
      </x:c>
      <x:c r="M28" s="40" t="str">
        <x:v>TBD</x:v>
      </x:c>
      <x:c r="N28" s="40" t="str">
        <x:v>TBD</x:v>
      </x:c>
      <x:c r="O28" s="40" t="str">
        <x:v>Portfolio baseline only; no real data used.</x:v>
      </x:c>
    </x:row>
    <x:row r="29">
      <x:c r="A29" s="40" t="str">
        <x:v>DATA-AI006-01</x:v>
      </x:c>
      <x:c r="B29" s="40" t="str">
        <x:v>AI-006</x:v>
      </x:c>
      <x:c r="C29" s="40" t="str">
        <x:v>Internal documents</x:v>
      </x:c>
      <x:c r="D29" s="40" t="str">
        <x:v>RAG / inference / interaction</x:v>
      </x:c>
      <x:c r="E29" s="40" t="str">
        <x:v>Mixed</x:v>
      </x:c>
      <x:c r="F29" s="40" t="str">
        <x:v>Yes/Conditional</x:v>
      </x:c>
      <x:c r="G29" s="40" t="str">
        <x:v>Potentially</x:v>
      </x:c>
      <x:c r="H29" s="40" t="str">
        <x:v>Yes</x:v>
      </x:c>
      <x:c r="I29" s="40" t="str">
        <x:v>Source category known; exact dataset/table/repository provenance to be evidenced</x:v>
      </x:c>
      <x:c r="J29" s="40" t="str">
        <x:v>TBD</x:v>
      </x:c>
      <x:c r="K29" s="40" t="str">
        <x:v>EU</x:v>
      </x:c>
      <x:c r="L29" s="40" t="str">
        <x:v>TBD</x:v>
      </x:c>
      <x:c r="M29" s="40" t="str">
        <x:v>TBD</x:v>
      </x:c>
      <x:c r="N29" s="40" t="str">
        <x:v>Partial</x:v>
      </x:c>
      <x:c r="O29" s="40" t="str">
        <x:v>Portfolio baseline only; no real data used.</x:v>
      </x:c>
    </x:row>
    <x:row r="30">
      <x:c r="A30" s="40" t="str">
        <x:v>DATA-AI006-02</x:v>
      </x:c>
      <x:c r="B30" s="40" t="str">
        <x:v>AI-006</x:v>
      </x:c>
      <x:c r="C30" s="40" t="str">
        <x:v>Policies</x:v>
      </x:c>
      <x:c r="D30" s="40" t="str">
        <x:v>RAG / inference / interaction</x:v>
      </x:c>
      <x:c r="E30" s="40" t="str">
        <x:v>Mixed</x:v>
      </x:c>
      <x:c r="F30" s="40" t="str">
        <x:v>Yes/Conditional</x:v>
      </x:c>
      <x:c r="G30" s="40" t="str">
        <x:v>Potentially</x:v>
      </x:c>
      <x:c r="H30" s="40" t="str">
        <x:v>Yes</x:v>
      </x:c>
      <x:c r="I30" s="40" t="str">
        <x:v>Source category known; exact dataset/table/repository provenance to be evidenced</x:v>
      </x:c>
      <x:c r="J30" s="40" t="str">
        <x:v>TBD</x:v>
      </x:c>
      <x:c r="K30" s="40" t="str">
        <x:v>EU</x:v>
      </x:c>
      <x:c r="L30" s="40" t="str">
        <x:v>TBD</x:v>
      </x:c>
      <x:c r="M30" s="40" t="str">
        <x:v>TBD</x:v>
      </x:c>
      <x:c r="N30" s="40" t="str">
        <x:v>Partial</x:v>
      </x:c>
      <x:c r="O30" s="40" t="str">
        <x:v>Portfolio baseline only; no real data used.</x:v>
      </x:c>
    </x:row>
    <x:row r="31">
      <x:c r="A31" s="40" t="str">
        <x:v>DATA-AI006-03</x:v>
      </x:c>
      <x:c r="B31" s="40" t="str">
        <x:v>AI-006</x:v>
      </x:c>
      <x:c r="C31" s="40" t="str">
        <x:v>Source code</x:v>
      </x:c>
      <x:c r="D31" s="40" t="str">
        <x:v>RAG / inference / interaction</x:v>
      </x:c>
      <x:c r="E31" s="40" t="str">
        <x:v>Mixed</x:v>
      </x:c>
      <x:c r="F31" s="40" t="str">
        <x:v>Yes/Conditional</x:v>
      </x:c>
      <x:c r="G31" s="40" t="str">
        <x:v>Potentially</x:v>
      </x:c>
      <x:c r="H31" s="40" t="str">
        <x:v>Yes</x:v>
      </x:c>
      <x:c r="I31" s="40" t="str">
        <x:v>Source category known; exact dataset/table/repository provenance to be evidenced</x:v>
      </x:c>
      <x:c r="J31" s="40" t="str">
        <x:v>TBD</x:v>
      </x:c>
      <x:c r="K31" s="40" t="str">
        <x:v>EU</x:v>
      </x:c>
      <x:c r="L31" s="40" t="str">
        <x:v>TBD</x:v>
      </x:c>
      <x:c r="M31" s="40" t="str">
        <x:v>TBD</x:v>
      </x:c>
      <x:c r="N31" s="40" t="str">
        <x:v>Partial</x:v>
      </x:c>
      <x:c r="O31" s="40" t="str">
        <x:v>Portfolio baseline only; no real data used.</x:v>
      </x:c>
    </x:row>
    <x:row r="32">
      <x:c r="A32" s="40" t="str">
        <x:v>DATA-AI006-04</x:v>
      </x:c>
      <x:c r="B32" s="40" t="str">
        <x:v>AI-006</x:v>
      </x:c>
      <x:c r="C32" s="40" t="str">
        <x:v>Meeting transcripts</x:v>
      </x:c>
      <x:c r="D32" s="40" t="str">
        <x:v>RAG / inference / interaction</x:v>
      </x:c>
      <x:c r="E32" s="40" t="str">
        <x:v>Mixed</x:v>
      </x:c>
      <x:c r="F32" s="40" t="str">
        <x:v>Yes/Conditional</x:v>
      </x:c>
      <x:c r="G32" s="40" t="str">
        <x:v>Potentially</x:v>
      </x:c>
      <x:c r="H32" s="40" t="str">
        <x:v>Yes</x:v>
      </x:c>
      <x:c r="I32" s="40" t="str">
        <x:v>Source category known; exact dataset/table/repository provenance to be evidenced</x:v>
      </x:c>
      <x:c r="J32" s="40" t="str">
        <x:v>TBD</x:v>
      </x:c>
      <x:c r="K32" s="40" t="str">
        <x:v>EU</x:v>
      </x:c>
      <x:c r="L32" s="40" t="str">
        <x:v>TBD</x:v>
      </x:c>
      <x:c r="M32" s="40" t="str">
        <x:v>TBD</x:v>
      </x:c>
      <x:c r="N32" s="40" t="str">
        <x:v>Partial</x:v>
      </x:c>
      <x:c r="O32" s="40" t="str">
        <x:v>Portfolio baseline only; no real data used.</x:v>
      </x:c>
    </x:row>
    <x:row r="33">
      <x:c r="A33" s="40" t="str">
        <x:v>DATA-AI006-05</x:v>
      </x:c>
      <x:c r="B33" s="40" t="str">
        <x:v>AI-006</x:v>
      </x:c>
      <x:c r="C33" s="40" t="str">
        <x:v>Knowledge-base content</x:v>
      </x:c>
      <x:c r="D33" s="40" t="str">
        <x:v>RAG / inference / interaction</x:v>
      </x:c>
      <x:c r="E33" s="40" t="str">
        <x:v>Mixed</x:v>
      </x:c>
      <x:c r="F33" s="40" t="str">
        <x:v>Yes/Conditional</x:v>
      </x:c>
      <x:c r="G33" s="40" t="str">
        <x:v>Potentially</x:v>
      </x:c>
      <x:c r="H33" s="40" t="str">
        <x:v>Yes</x:v>
      </x:c>
      <x:c r="I33" s="40" t="str">
        <x:v>Source category known; exact dataset/table/repository provenance to be evidenced</x:v>
      </x:c>
      <x:c r="J33" s="40" t="str">
        <x:v>TBD</x:v>
      </x:c>
      <x:c r="K33" s="40" t="str">
        <x:v>EU</x:v>
      </x:c>
      <x:c r="L33" s="40" t="str">
        <x:v>TBD</x:v>
      </x:c>
      <x:c r="M33" s="40" t="str">
        <x:v>TBD</x:v>
      </x:c>
      <x:c r="N33" s="40" t="str">
        <x:v>Partial</x:v>
      </x:c>
      <x:c r="O33" s="40" t="str">
        <x:v>Portfolio baseline only; no real data used.</x:v>
      </x:c>
    </x:row>
    <x:row r="34">
      <x:c r="A34" s="40" t="str">
        <x:v>DATA-AI006-06</x:v>
      </x:c>
      <x:c r="B34" s="40" t="str">
        <x:v>AI-006</x:v>
      </x:c>
      <x:c r="C34" s="40" t="str">
        <x:v>User prompts</x:v>
      </x:c>
      <x:c r="D34" s="40" t="str">
        <x:v>RAG / inference / interaction</x:v>
      </x:c>
      <x:c r="E34" s="40" t="str">
        <x:v>Mixed</x:v>
      </x:c>
      <x:c r="F34" s="40" t="str">
        <x:v>Yes/Conditional</x:v>
      </x:c>
      <x:c r="G34" s="40" t="str">
        <x:v>Potentially</x:v>
      </x:c>
      <x:c r="H34" s="40" t="str">
        <x:v>Yes</x:v>
      </x:c>
      <x:c r="I34" s="40" t="str">
        <x:v>Source category known; exact dataset/table/repository provenance to be evidenced</x:v>
      </x:c>
      <x:c r="J34" s="40" t="str">
        <x:v>TBD</x:v>
      </x:c>
      <x:c r="K34" s="40" t="str">
        <x:v>EU</x:v>
      </x:c>
      <x:c r="L34" s="40" t="str">
        <x:v>TBD</x:v>
      </x:c>
      <x:c r="M34" s="40" t="str">
        <x:v>TBD</x:v>
      </x:c>
      <x:c r="N34" s="40" t="str">
        <x:v>Partial</x:v>
      </x:c>
      <x:c r="O34" s="40" t="str">
        <x:v>Portfolio baseline only; no real data used.</x:v>
      </x:c>
    </x:row>
    <x:row r="35">
      <x:c r="A35" s="40" t="str">
        <x:v>DATA-AI007-01</x:v>
      </x:c>
      <x:c r="B35" s="40" t="str">
        <x:v>AI-007</x:v>
      </x:c>
      <x:c r="C35" s="40" t="str">
        <x:v>Potential product specifications</x:v>
      </x:c>
      <x:c r="D35" s="40" t="str">
        <x:v>Unknown unregistered use</x:v>
      </x:c>
      <x:c r="E35" s="40" t="str">
        <x:v>Mixed</x:v>
      </x:c>
      <x:c r="F35" s="40" t="str">
        <x:v>Potentially</x:v>
      </x:c>
      <x:c r="G35" s="40" t="str">
        <x:v>Potentially</x:v>
      </x:c>
      <x:c r="H35" s="40" t="str">
        <x:v>Potentially</x:v>
      </x:c>
      <x:c r="I35" s="40" t="str">
        <x:v>Unknown</x:v>
      </x:c>
      <x:c r="J35" s="40" t="str">
        <x:v>Unknown</x:v>
      </x:c>
      <x:c r="K35" s="40" t="str">
        <x:v>Unknown</x:v>
      </x:c>
      <x:c r="L35" s="40" t="str">
        <x:v>TBD</x:v>
      </x:c>
      <x:c r="M35" s="40" t="str">
        <x:v>TBD</x:v>
      </x:c>
      <x:c r="N35" s="40" t="str">
        <x:v>Unknown</x:v>
      </x:c>
      <x:c r="O35" s="40" t="str">
        <x:v>Portfolio baseline only; no real data used.</x:v>
      </x:c>
    </x:row>
    <x:row r="36">
      <x:c r="A36" s="40" t="str">
        <x:v>DATA-AI007-02</x:v>
      </x:c>
      <x:c r="B36" s="40" t="str">
        <x:v>AI-007</x:v>
      </x:c>
      <x:c r="C36" s="40" t="str">
        <x:v>Potential customer correspondence</x:v>
      </x:c>
      <x:c r="D36" s="40" t="str">
        <x:v>Unknown unregistered use</x:v>
      </x:c>
      <x:c r="E36" s="40" t="str">
        <x:v>Mixed</x:v>
      </x:c>
      <x:c r="F36" s="40" t="str">
        <x:v>Potentially</x:v>
      </x:c>
      <x:c r="G36" s="40" t="str">
        <x:v>Potentially</x:v>
      </x:c>
      <x:c r="H36" s="40" t="str">
        <x:v>Potentially</x:v>
      </x:c>
      <x:c r="I36" s="40" t="str">
        <x:v>Unknown</x:v>
      </x:c>
      <x:c r="J36" s="40" t="str">
        <x:v>Unknown</x:v>
      </x:c>
      <x:c r="K36" s="40" t="str">
        <x:v>Unknown</x:v>
      </x:c>
      <x:c r="L36" s="40" t="str">
        <x:v>TBD</x:v>
      </x:c>
      <x:c r="M36" s="40" t="str">
        <x:v>TBD</x:v>
      </x:c>
      <x:c r="N36" s="40" t="str">
        <x:v>Unknown</x:v>
      </x:c>
      <x:c r="O36" s="40" t="str">
        <x:v>Portfolio baseline only; no real data used.</x:v>
      </x:c>
    </x:row>
    <x:row r="37">
      <x:c r="A37" s="40" t="str">
        <x:v>DATA-AI007-03</x:v>
      </x:c>
      <x:c r="B37" s="40" t="str">
        <x:v>AI-007</x:v>
      </x:c>
      <x:c r="C37" s="40" t="str">
        <x:v>Potential source code</x:v>
      </x:c>
      <x:c r="D37" s="40" t="str">
        <x:v>Unknown unregistered use</x:v>
      </x:c>
      <x:c r="E37" s="40" t="str">
        <x:v>Mixed</x:v>
      </x:c>
      <x:c r="F37" s="40" t="str">
        <x:v>Potentially</x:v>
      </x:c>
      <x:c r="G37" s="40" t="str">
        <x:v>Potentially</x:v>
      </x:c>
      <x:c r="H37" s="40" t="str">
        <x:v>Potentially</x:v>
      </x:c>
      <x:c r="I37" s="40" t="str">
        <x:v>Unknown</x:v>
      </x:c>
      <x:c r="J37" s="40" t="str">
        <x:v>Unknown</x:v>
      </x:c>
      <x:c r="K37" s="40" t="str">
        <x:v>Unknown</x:v>
      </x:c>
      <x:c r="L37" s="40" t="str">
        <x:v>TBD</x:v>
      </x:c>
      <x:c r="M37" s="40" t="str">
        <x:v>TBD</x:v>
      </x:c>
      <x:c r="N37" s="40" t="str">
        <x:v>Unknown</x:v>
      </x:c>
      <x:c r="O37" s="40" t="str">
        <x:v>Portfolio baseline only; no real data used.</x:v>
      </x:c>
    </x:row>
    <x:row r="38">
      <x:c r="A38" s="40" t="str">
        <x:v>DATA-AI007-04</x:v>
      </x:c>
      <x:c r="B38" s="40" t="str">
        <x:v>AI-007</x:v>
      </x:c>
      <x:c r="C38" s="40" t="str">
        <x:v>Potential HR documents</x:v>
      </x:c>
      <x:c r="D38" s="40" t="str">
        <x:v>Unknown unregistered use</x:v>
      </x:c>
      <x:c r="E38" s="40" t="str">
        <x:v>Mixed</x:v>
      </x:c>
      <x:c r="F38" s="40" t="str">
        <x:v>Potentially</x:v>
      </x:c>
      <x:c r="G38" s="40" t="str">
        <x:v>Potentially</x:v>
      </x:c>
      <x:c r="H38" s="40" t="str">
        <x:v>Potentially</x:v>
      </x:c>
      <x:c r="I38" s="40" t="str">
        <x:v>Unknown</x:v>
      </x:c>
      <x:c r="J38" s="40" t="str">
        <x:v>Unknown</x:v>
      </x:c>
      <x:c r="K38" s="40" t="str">
        <x:v>Unknown</x:v>
      </x:c>
      <x:c r="L38" s="40" t="str">
        <x:v>TBD</x:v>
      </x:c>
      <x:c r="M38" s="40" t="str">
        <x:v>TBD</x:v>
      </x:c>
      <x:c r="N38" s="40" t="str">
        <x:v>Unknown</x:v>
      </x:c>
      <x:c r="O38" s="40" t="str">
        <x:v>Portfolio baseline only; no real data used.</x:v>
      </x:c>
    </x:row>
    <x:row r="39">
      <x:c r="A39" s="40" t="str">
        <x:v>DATA-AI007-05</x:v>
      </x:c>
      <x:c r="B39" s="40" t="str">
        <x:v>AI-007</x:v>
      </x:c>
      <x:c r="C39" s="40" t="str">
        <x:v>Potential translations</x:v>
      </x:c>
      <x:c r="D39" s="40" t="str">
        <x:v>Unknown unregistered use</x:v>
      </x:c>
      <x:c r="E39" s="40" t="str">
        <x:v>Mixed</x:v>
      </x:c>
      <x:c r="F39" s="40" t="str">
        <x:v>Potentially</x:v>
      </x:c>
      <x:c r="G39" s="40" t="str">
        <x:v>Potentially</x:v>
      </x:c>
      <x:c r="H39" s="40" t="str">
        <x:v>Potentially</x:v>
      </x:c>
      <x:c r="I39" s="40" t="str">
        <x:v>Unknown</x:v>
      </x:c>
      <x:c r="J39" s="40" t="str">
        <x:v>Unknown</x:v>
      </x:c>
      <x:c r="K39" s="40" t="str">
        <x:v>Unknown</x:v>
      </x:c>
      <x:c r="L39" s="40" t="str">
        <x:v>TBD</x:v>
      </x:c>
      <x:c r="M39" s="40" t="str">
        <x:v>TBD</x:v>
      </x:c>
      <x:c r="N39" s="40" t="str">
        <x:v>Unknown</x:v>
      </x:c>
      <x:c r="O39" s="40" t="str">
        <x:v>Portfolio baseline only; no real data used.</x:v>
      </x:c>
    </x:row>
    <x:row r="40">
      <x:c r="A40" s="40" t="str">
        <x:v>DATA-AI007-06</x:v>
      </x:c>
      <x:c r="B40" s="40" t="str">
        <x:v>AI-007</x:v>
      </x:c>
      <x:c r="C40" s="40" t="str">
        <x:v>Potential internal documents</x:v>
      </x:c>
      <x:c r="D40" s="40" t="str">
        <x:v>Unknown unregistered use</x:v>
      </x:c>
      <x:c r="E40" s="40" t="str">
        <x:v>Mixed</x:v>
      </x:c>
      <x:c r="F40" s="40" t="str">
        <x:v>Potentially</x:v>
      </x:c>
      <x:c r="G40" s="40" t="str">
        <x:v>Potentially</x:v>
      </x:c>
      <x:c r="H40" s="40" t="str">
        <x:v>Potentially</x:v>
      </x:c>
      <x:c r="I40" s="40" t="str">
        <x:v>Unknown</x:v>
      </x:c>
      <x:c r="J40" s="40" t="str">
        <x:v>Unknown</x:v>
      </x:c>
      <x:c r="K40" s="40" t="str">
        <x:v>Unknown</x:v>
      </x:c>
      <x:c r="L40" s="40" t="str">
        <x:v>TBD</x:v>
      </x:c>
      <x:c r="M40" s="40" t="str">
        <x:v>TBD</x:v>
      </x:c>
      <x:c r="N40" s="40" t="str">
        <x:v>Unknown</x:v>
      </x:c>
      <x:c r="O40" s="40" t="str">
        <x:v>Portfolio baseline only; no real data used.</x:v>
      </x:c>
    </x:row>
  </x:sheetData>
  <x:mergeCells>
    <x:mergeCell ref="A1:O1"/>
  </x:mergeCells>
  <x:conditionalFormatting sqref="N4:N40">
    <x:cfRule type="expression" dxfId="12" priority="1">
      <x:formula>N4="Known"</x:formula>
    </x:cfRule>
    <x:cfRule type="expression" dxfId="13" priority="2">
      <x:formula>N4="Partial"</x:formula>
    </x:cfRule>
    <x:cfRule type="expression" dxfId="14" priority="3">
      <x:formula>N4="TBD"</x:formula>
    </x:cfRule>
    <x:cfRule type="expression" dxfId="15" priority="4">
      <x:formula>N4="Unknown"</x:formula>
    </x:cfRule>
    <x:cfRule type="expression" dxfId="16" priority="5">
      <x:formula>N4="N/A"</x:formula>
    </x:cfRule>
  </x:conditionalFormatting>
  <x:dataValidations count="1">
    <x:dataValidation type="list" sqref="N4:N40">
      <x:formula1>"Known,Partial,TBD,Unknown,N/A"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f06c4a23204a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0" hidden="0" customWidth="1"/>
    <x:col min="4" max="4" width="28" hidden="0" customWidth="1"/>
    <x:col min="5" max="5" width="18" hidden="0" customWidth="1"/>
    <x:col min="6" max="6" width="27" hidden="0" customWidth="1"/>
    <x:col min="7" max="7" width="12" hidden="0" customWidth="1"/>
    <x:col min="8" max="8" width="65" hidden="0" customWidth="1"/>
    <x:col min="9" max="9" width="14" hidden="0" customWidth="1"/>
  </x:cols>
  <x:sheetData>
    <x:row r="1" ht="28" customHeight="1">
      <x:c r="A1" s="5" t="str">
        <x:v>DUCKWORKS | AIBOM VENDOR &amp; SERVICE DEPENDENCIES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33" t="str">
        <x:v>Vendor/Service ID</x:v>
      </x:c>
      <x:c r="B3" s="33" t="str">
        <x:v>AI ID</x:v>
      </x:c>
      <x:c r="C3" s="33" t="str">
        <x:v>Provider / Supplier</x:v>
      </x:c>
      <x:c r="D3" s="33" t="str">
        <x:v>Service / Role</x:v>
      </x:c>
      <x:c r="E3" s="33" t="str">
        <x:v>Dependency Type</x:v>
      </x:c>
      <x:c r="F3" s="33" t="str">
        <x:v>Hosting</x:v>
      </x:c>
      <x:c r="G3" s="33" t="str">
        <x:v>Location</x:v>
      </x:c>
      <x:c r="H3" s="33" t="str">
        <x:v>Required Evidence / Open Questions</x:v>
      </x:c>
      <x:c r="I3" s="33" t="str">
        <x:v>Evidence Status</x:v>
      </x:c>
    </x:row>
    <x:row r="4">
      <x:c r="A4" s="40" t="str">
        <x:v>VND-AI001-01</x:v>
      </x:c>
      <x:c r="B4" s="40" t="str">
        <x:v>AI-001</x:v>
      </x:c>
      <x:c r="C4" s="40" t="str">
        <x:v>Fictional third-party AI provider</x:v>
      </x:c>
      <x:c r="D4" s="40" t="str">
        <x:v>Foundation model / engineering optimization service</x:v>
      </x:c>
      <x:c r="E4" s="40" t="str">
        <x:v>Third party</x:v>
      </x:c>
      <x:c r="F4" s="40" t="str">
        <x:v>Private cloud / tenant-isolated SaaS</x:v>
      </x:c>
      <x:c r="G4" s="40" t="str">
        <x:v>EU</x:v>
      </x:c>
      <x:c r="H4" s="40" t="str">
        <x:v>Model identity/version, license, training-data provenance, data use/retention, subprocessors, SLA, incident/change notice</x:v>
      </x:c>
      <x:c r="I4" s="40" t="str">
        <x:v>Partial</x:v>
      </x:c>
    </x:row>
    <x:row r="5">
      <x:c r="A5" s="40" t="str">
        <x:v>VND-AI002-01</x:v>
      </x:c>
      <x:c r="B5" s="40" t="str">
        <x:v>AI-002</x:v>
      </x:c>
      <x:c r="C5" s="40" t="str">
        <x:v>Fictional SaaS LLM provider</x:v>
      </x:c>
      <x:c r="D5" s="40" t="str">
        <x:v>LLM SaaS</x:v>
      </x:c>
      <x:c r="E5" s="40" t="str">
        <x:v>Third party</x:v>
      </x:c>
      <x:c r="F5" s="40" t="str">
        <x:v>EU-hosted SaaS</x:v>
      </x:c>
      <x:c r="G5" s="40" t="str">
        <x:v>EU</x:v>
      </x:c>
      <x:c r="H5" s="40" t="str">
        <x:v>Exact model/version, license, retention/training settings, subprocessors, security evidence, incident/change notice</x:v>
      </x:c>
      <x:c r="I5" s="40" t="str">
        <x:v>Partial</x:v>
      </x:c>
    </x:row>
    <x:row r="6">
      <x:c r="A6" s="40" t="str">
        <x:v>VND-AI003-01</x:v>
      </x:c>
      <x:c r="B6" s="40" t="str">
        <x:v>AI-003</x:v>
      </x:c>
      <x:c r="C6" s="40" t="str">
        <x:v>Duckworks</x:v>
      </x:c>
      <x:c r="D6" s="40" t="str">
        <x:v>Internal model / service</x:v>
      </x:c>
      <x:c r="E6" s="40" t="str">
        <x:v>Internal</x:v>
      </x:c>
      <x:c r="F6" s="40" t="str">
        <x:v>Private cloud</x:v>
      </x:c>
      <x:c r="G6" s="40" t="str">
        <x:v>EU</x:v>
      </x:c>
      <x:c r="H6" s="40" t="str">
        <x:v>Framework/library/runtime versions and internal build evidence</x:v>
      </x:c>
      <x:c r="I6" s="40" t="str">
        <x:v>Partial</x:v>
      </x:c>
    </x:row>
    <x:row r="7">
      <x:c r="A7" s="40" t="str">
        <x:v>VND-AI004-01</x:v>
      </x:c>
      <x:c r="B7" s="40" t="str">
        <x:v>AI-004</x:v>
      </x:c>
      <x:c r="C7" s="40" t="str">
        <x:v>Duckworks</x:v>
      </x:c>
      <x:c r="D7" s="40" t="str">
        <x:v>Internal computer-vision model / service</x:v>
      </x:c>
      <x:c r="E7" s="40" t="str">
        <x:v>Internal</x:v>
      </x:c>
      <x:c r="F7" s="40" t="str">
        <x:v>On-premise edge + private cloud</x:v>
      </x:c>
      <x:c r="G7" s="40" t="str">
        <x:v>EU</x:v>
      </x:c>
      <x:c r="H7" s="40" t="str">
        <x:v>Framework/runtime/camera dependencies and build evidence</x:v>
      </x:c>
      <x:c r="I7" s="40" t="str">
        <x:v>Partial</x:v>
      </x:c>
    </x:row>
    <x:row r="8">
      <x:c r="A8" s="40" t="str">
        <x:v>VND-AI005-01</x:v>
      </x:c>
      <x:c r="B8" s="40" t="str">
        <x:v>AI-005</x:v>
      </x:c>
      <x:c r="C8" s="40" t="str">
        <x:v>Vendor not selected</x:v>
      </x:c>
      <x:c r="D8" s="40" t="str">
        <x:v>Recruitment AI service/model</x:v>
      </x:c>
      <x:c r="E8" s="40" t="str">
        <x:v>Unknown</x:v>
      </x:c>
      <x:c r="F8" s="40" t="str">
        <x:v>TBD</x:v>
      </x:c>
      <x:c r="G8" s="40" t="str">
        <x:v>TBD</x:v>
      </x:c>
      <x:c r="H8" s="40" t="str">
        <x:v>Provider, model, hosting, DPA, subprocessors, training data, security, fairness evidence, license, exit</x:v>
      </x:c>
      <x:c r="I8" s="40" t="str">
        <x:v>Unknown</x:v>
      </x:c>
    </x:row>
    <x:row r="9">
      <x:c r="A9" s="40" t="str">
        <x:v>VND-AI006-01</x:v>
      </x:c>
      <x:c r="B9" s="40" t="str">
        <x:v>AI-006</x:v>
      </x:c>
      <x:c r="C9" s="40" t="str">
        <x:v>Fictional enterprise AI provider</x:v>
      </x:c>
      <x:c r="D9" s="40" t="str">
        <x:v>Enterprise LLM / RAG / code assistant</x:v>
      </x:c>
      <x:c r="E9" s="40" t="str">
        <x:v>Third party</x:v>
      </x:c>
      <x:c r="F9" s="40" t="str">
        <x:v>Private enterprise tenant</x:v>
      </x:c>
      <x:c r="G9" s="40" t="str">
        <x:v>EU</x:v>
      </x:c>
      <x:c r="H9" s="40" t="str">
        <x:v>Exact models, embedding model, vector store responsibility, training/retention, support access, subprocessors, change notice</x:v>
      </x:c>
      <x:c r="I9" s="40" t="str">
        <x:v>Partial</x:v>
      </x:c>
    </x:row>
    <x:row r="10">
      <x:c r="A10" s="40" t="str">
        <x:v>VND-AI007-01</x:v>
      </x:c>
      <x:c r="B10" s="40" t="str">
        <x:v>AI-007</x:v>
      </x:c>
      <x:c r="C10" s="40" t="str">
        <x:v>Multiple unknown vendors</x:v>
      </x:c>
      <x:c r="D10" s="40" t="str">
        <x:v>Public AI services / browser extensions</x:v>
      </x:c>
      <x:c r="E10" s="40" t="str">
        <x:v>Third party / unknown</x:v>
      </x:c>
      <x:c r="F10" s="40" t="str">
        <x:v>External public SaaS</x:v>
      </x:c>
      <x:c r="G10" s="40" t="str">
        <x:v>Unknown</x:v>
      </x:c>
      <x:c r="H10" s="40" t="str">
        <x:v>Tool/vendor discovery, terms, data use, retention, model training, locations, security, exit</x:v>
      </x:c>
      <x:c r="I10" s="40" t="str">
        <x:v>Unknown</x:v>
      </x:c>
    </x:row>
  </x:sheetData>
  <x:mergeCells>
    <x:mergeCell ref="A1:I1"/>
  </x:mergeCells>
  <x:conditionalFormatting sqref="I4:I10">
    <x:cfRule type="expression" dxfId="17" priority="1">
      <x:formula>I4="Known"</x:formula>
    </x:cfRule>
    <x:cfRule type="expression" dxfId="18" priority="2">
      <x:formula>I4="Partial"</x:formula>
    </x:cfRule>
    <x:cfRule type="expression" dxfId="19" priority="3">
      <x:formula>I4="TBD"</x:formula>
    </x:cfRule>
    <x:cfRule type="expression" dxfId="20" priority="4">
      <x:formula>I4="Unknown"</x:formula>
    </x:cfRule>
    <x:cfRule type="expression" dxfId="21" priority="5">
      <x:formula>I4="N/A"</x:formula>
    </x:cfRule>
  </x:conditionalFormatting>
  <x:dataValidations count="1">
    <x:dataValidation type="list" sqref="I4:I10">
      <x:formula1>"Known,Partial,TBD,Unknown,N/A"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03d05bf90f4b4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AI-001 DuckDesign AI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Internal AIBOM baseline; unknown/unverified facts remain TBD/Unknown.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AI-001</x:v>
      </x:c>
      <x:c r="C5" s="48" t="str">
        <x:v>System</x:v>
      </x:c>
      <x:c r="D5" s="40" t="str">
        <x:v>DuckDesign AI</x:v>
      </x:c>
      <x:c r="E5" s="48" t="str">
        <x:v>Lifecycle</x:v>
      </x:c>
      <x:c r="F5" s="40" t="str">
        <x:v>Pilot</x:v>
      </x:c>
      <x:c r="G5" s="48" t="str">
        <x:v>System Version</x:v>
      </x:c>
      <x:c r="H5" s="40" t="str">
        <x:v>Pilot-0.8</x:v>
      </x:c>
    </x:row>
    <x:row r="6">
      <x:c r="A6" s="48" t="str">
        <x:v>Business Owner</x:v>
      </x:c>
      <x:c r="B6" s="40" t="str">
        <x:v>Felix Duckson — VP Product &amp; Engineering</x:v>
      </x:c>
      <x:c r="C6" s="48" t="str">
        <x:v>Technical Owner</x:v>
      </x:c>
      <x:c r="D6" s="40" t="str">
        <x:v>Dr. Ada Duckfield — Head of Data &amp; AI</x:v>
      </x:c>
      <x:c r="E6" s="48" t="str">
        <x:v>Current Gate</x:v>
      </x:c>
      <x:c r="F6" s="40" t="str">
        <x:v>Restricted pilot only</x:v>
      </x:c>
      <x:c r="G6" s="48" t="str">
        <x:v>Residual Risk</x:v>
      </x:c>
      <x:c r="H6" s="40" t="str">
        <x:v>High (10)</x:v>
      </x:c>
    </x:row>
    <x:row r="7">
      <x:c r="A7" s="48" t="str">
        <x:v>AI Type</x:v>
      </x:c>
      <x:c r="B7" s="40" t="str">
        <x:v>Generative AI / Optimization</x:v>
      </x:c>
      <x:c r="C7" s="48" t="str">
        <x:v>Model / Technology</x:v>
      </x:c>
      <x:c r="D7" s="40" t="str">
        <x:v>Multimodal foundation model + engineering optimization services</x:v>
      </x:c>
      <x:c r="E7" s="48" t="str">
        <x:v>Provider</x:v>
      </x:c>
      <x:c r="F7" s="40" t="str">
        <x:v>Fictional third-party AI provider + internal tooling</x:v>
      </x:c>
      <x:c r="G7" s="48" t="str">
        <x:v>Hosting</x:v>
      </x:c>
      <x:c r="H7" s="40" t="str">
        <x:v>Private cloud / tenant-isolated SaaS</x:v>
      </x:c>
    </x:row>
    <x:row r="8">
      <x:c r="A8" s="48" t="str">
        <x:v>Input Data</x:v>
      </x:c>
      <x:c r="B8" s="40" t="str">
        <x:v>CAD files; product specifications; material characteristics; historical designs; test results</x:v>
      </x:c>
      <x:c r="C8" s="48" t="str">
        <x:v>Output / Decision</x:v>
      </x:c>
      <x:c r="D8" s="40" t="str">
        <x:v>Design concepts; component recommendations; optimization suggestions; simulation support</x:v>
      </x:c>
      <x:c r="E8" s="48" t="str">
        <x:v>Human Oversight</x:v>
      </x:c>
      <x:c r="F8" s="40" t="str">
        <x:v>Mandatory engineer review and approval before prototyping/production.</x:v>
      </x:c>
      <x:c r="G8" s="48" t="str">
        <x:v>Third Party</x:v>
      </x:c>
      <x:c r="H8" s="40" t="str">
        <x:v>Yes</x:v>
      </x:c>
    </x:row>
    <x:row r="9">
      <x:c r="A9" s="48" t="str">
        <x:v>Classification</x:v>
      </x:c>
      <x:c r="B9" s="40" t="str">
        <x:v>Highly Confidential</x:v>
      </x:c>
      <x:c r="C9" s="48" t="str">
        <x:v>Personal Data</x:v>
      </x:c>
      <x:c r="D9" s="40" t="str">
        <x:v>No</x:v>
      </x:c>
      <x:c r="E9" s="48" t="str">
        <x:v>Sensitive Data</x:v>
      </x:c>
      <x:c r="F9" s="40" t="str">
        <x:v>No</x:v>
      </x:c>
      <x:c r="G9" s="48" t="str">
        <x:v>Confidential / IP</x:v>
      </x:c>
      <x:c r="H9" s="40" t="str">
        <x:v>Yes</x:v>
      </x:c>
    </x:row>
    <x:row r="10">
      <x:c r="A10" s="48" t="str">
        <x:v>Integrations</x:v>
      </x:c>
      <x:c r="B10" s="40" t="str">
        <x:v>CAD platform; simulation tooling</x:v>
      </x:c>
      <x:c r="C10" s="48" t="str">
        <x:v>Operating Countries</x:v>
      </x:c>
      <x:c r="D10" s="40" t="str">
        <x:v>EU / UK</x:v>
      </x:c>
      <x:c r="E10" s="48" t="str">
        <x:v>Data Location</x:v>
      </x:c>
      <x:c r="F10" s="40" t="str">
        <x:v>EU</x:v>
      </x:c>
      <x:c r="G10" s="48" t="str">
        <x:v>AIBOM ID</x:v>
      </x:c>
      <x:c r="H10" s="40" t="str">
        <x:v>AIBOM-AI-001-v1.0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AIBOM-AI001-C01</x:v>
      </x:c>
      <x:c r="B14" s="40" t="str">
        <x:v>Application</x:v>
      </x:c>
      <x:c r="C14" s="40" t="str">
        <x:v>DuckDesign AI composite application</x:v>
      </x:c>
      <x:c r="D14" s="40" t="str">
        <x:v>System orchestration / engineering assistant</x:v>
      </x:c>
      <x:c r="E14" s="40" t="str">
        <x:v>Pilot-0.8</x:v>
      </x:c>
      <x:c r="F14" s="40" t="str">
        <x:v>Duckworks + fictional third-party provider</x:v>
      </x:c>
      <x:c r="G14" s="40" t="str">
        <x:v>Private cloud / tenant-isolated SaaS</x:v>
      </x:c>
      <x:c r="H14" s="40" t="str">
        <x:v>TBD</x:v>
      </x:c>
      <x:c r="I14" s="40" t="str">
        <x:v>TBD</x:v>
      </x:c>
      <x:c r="J14" s="40" t="str">
        <x:v>Asset Inventory</x:v>
      </x:c>
      <x:c r="K14" s="40" t="str">
        <x:v>Partial</x:v>
      </x:c>
      <x:c r="L14" s="40" t="str">
        <x:v>Application version known; package/build identifiers not evidenced.</x:v>
      </x:c>
    </x:row>
    <x:row r="15">
      <x:c r="A15" s="40" t="str">
        <x:v>AIBOM-AI001-C02</x:v>
      </x:c>
      <x:c r="B15" s="40" t="str">
        <x:v>AI/ML Model</x:v>
      </x:c>
      <x:c r="C15" s="40" t="str">
        <x:v>Multimodal foundation model</x:v>
      </x:c>
      <x:c r="D15" s="40" t="str">
        <x:v>Generative design / technical assistance</x:v>
      </x:c>
      <x:c r="E15" s="40" t="str">
        <x:v>TBD</x:v>
      </x:c>
      <x:c r="F15" s="40" t="str">
        <x:v>Fictional third-party AI provider</x:v>
      </x:c>
      <x:c r="G15" s="40" t="str">
        <x:v>Tenant-isolated SaaS</x:v>
      </x:c>
      <x:c r="H15" s="40" t="str">
        <x:v>TBD</x:v>
      </x:c>
      <x:c r="I15" s="40" t="str">
        <x:v>TBD</x:v>
      </x:c>
      <x:c r="J15" s="40" t="str">
        <x:v>Asset Inventory</x:v>
      </x:c>
      <x:c r="K15" s="40" t="str">
        <x:v>TBD</x:v>
      </x:c>
      <x:c r="L15" s="40" t="str">
        <x:v>Exact model name, revision, hash, license and model card not evidenced.</x:v>
      </x:c>
    </x:row>
    <x:row r="16">
      <x:c r="A16" s="40" t="str">
        <x:v>AIBOM-AI001-C03</x:v>
      </x:c>
      <x:c r="B16" s="40" t="str">
        <x:v>AI/ML Service</x:v>
      </x:c>
      <x:c r="C16" s="40" t="str">
        <x:v>Engineering optimization services</x:v>
      </x:c>
      <x:c r="D16" s="40" t="str">
        <x:v>Component/material optimization support</x:v>
      </x:c>
      <x:c r="E16" s="40" t="str">
        <x:v>TBD</x:v>
      </x:c>
      <x:c r="F16" s="40" t="str">
        <x:v>Fictional third-party provider + internal tooling</x:v>
      </x:c>
      <x:c r="G16" s="40" t="str">
        <x:v>Private cloud / SaaS</x:v>
      </x:c>
      <x:c r="H16" s="40" t="str">
        <x:v>TBD</x:v>
      </x:c>
      <x:c r="I16" s="40" t="str">
        <x:v>TBD</x:v>
      </x:c>
      <x:c r="J16" s="40" t="str">
        <x:v>Asset Inventory</x:v>
      </x:c>
      <x:c r="K16" s="40" t="str">
        <x:v>Partial</x:v>
      </x:c>
      <x:c r="L16" s="40" t="str">
        <x:v>Service composition and exact versions require architecture evidence.</x:v>
      </x:c>
    </x:row>
    <x:row r="17">
      <x:c r="A17" s="40" t="str">
        <x:v>AIBOM-AI001-C04</x:v>
      </x:c>
      <x:c r="B17" s="40" t="str">
        <x:v>Integration</x:v>
      </x:c>
      <x:c r="C17" s="40" t="str">
        <x:v>CAD platform</x:v>
      </x:c>
      <x:c r="D17" s="40" t="str">
        <x:v>Design-file workflow integration</x:v>
      </x:c>
      <x:c r="E17" s="40" t="str">
        <x:v>TBD</x:v>
      </x:c>
      <x:c r="F17" s="40" t="str">
        <x:v>Duckworks / CAD supplier TBD</x:v>
      </x:c>
      <x:c r="G17" s="40" t="str">
        <x:v>Engineering environment</x:v>
      </x:c>
      <x:c r="H17" s="40" t="str">
        <x:v>TBD</x:v>
      </x:c>
      <x:c r="I17" s="40" t="str">
        <x:v>TBD</x:v>
      </x:c>
      <x:c r="J17" s="40" t="str">
        <x:v>Asset Inventory</x:v>
      </x:c>
      <x:c r="K17" s="40" t="str">
        <x:v>Partial</x:v>
      </x:c>
      <x:c r="L17" s="40" t="str">
        <x:v>Platform named; product/version and interface details not evidenced.</x:v>
      </x:c>
    </x:row>
    <x:row r="18">
      <x:c r="A18" s="40" t="str">
        <x:v>AIBOM-AI001-C05</x:v>
      </x:c>
      <x:c r="B18" s="40" t="str">
        <x:v>Integration</x:v>
      </x:c>
      <x:c r="C18" s="40" t="str">
        <x:v>Simulation tooling</x:v>
      </x:c>
      <x:c r="D18" s="40" t="str">
        <x:v>Mechanical simulation support</x:v>
      </x:c>
      <x:c r="E18" s="40" t="str">
        <x:v>TBD</x:v>
      </x:c>
      <x:c r="F18" s="40" t="str">
        <x:v>Duckworks / supplier TBD</x:v>
      </x:c>
      <x:c r="G18" s="40" t="str">
        <x:v>Engineering environment</x:v>
      </x:c>
      <x:c r="H18" s="40" t="str">
        <x:v>TBD</x:v>
      </x:c>
      <x:c r="I18" s="40" t="str">
        <x:v>TBD</x:v>
      </x:c>
      <x:c r="J18" s="40" t="str">
        <x:v>Asset Inventory</x:v>
      </x:c>
      <x:c r="K18" s="40" t="str">
        <x:v>Partial</x:v>
      </x:c>
      <x:c r="L18" s="40" t="str">
        <x:v>Tool/version and API details not evidenced.</x:v>
      </x:c>
    </x:row>
    <x:row r="19">
      <x:c r="A19" s="40" t="str">
        <x:v>AIBOM-AI001-C06</x:v>
      </x:c>
      <x:c r="B19" s="40" t="str">
        <x:v>Infrastructure</x:v>
      </x:c>
      <x:c r="C19" s="40" t="str">
        <x:v>Private cloud / tenant-isolated SaaS</x:v>
      </x:c>
      <x:c r="D19" s="40" t="str">
        <x:v>Hosting / execution environment</x:v>
      </x:c>
      <x:c r="E19" s="40" t="str">
        <x:v>TBD</x:v>
      </x:c>
      <x:c r="F19" s="40" t="str">
        <x:v>Duckworks + provider</x:v>
      </x:c>
      <x:c r="G19" s="40" t="str">
        <x:v>EU</x:v>
      </x:c>
      <x:c r="H19" s="40" t="str">
        <x:v>N/A</x:v>
      </x:c>
      <x:c r="I19" s="40" t="str">
        <x:v>TBD</x:v>
      </x:c>
      <x:c r="J19" s="40" t="str">
        <x:v>Asset Inventory</x:v>
      </x:c>
      <x:c r="K19" s="40" t="str">
        <x:v>Partial</x:v>
      </x:c>
      <x:c r="L19" s="40" t="str">
        <x:v>Exact cloud platform/region, runtime and attestations not evidenced.</x:v>
      </x:c>
    </x:row>
    <x:row r="20">
      <x:c r="A20" s="40" t="str">
        <x:v>AIBOM-AI001-C07</x:v>
      </x:c>
      <x:c r="B20" s="40" t="str">
        <x:v>Configuration</x:v>
      </x:c>
      <x:c r="C20" s="40" t="str">
        <x:v>Engineering prompts / guardrails</x:v>
      </x:c>
      <x:c r="D20" s="40" t="str">
        <x:v>System instructions and design-use controls</x:v>
      </x:c>
      <x:c r="E20" s="40" t="str">
        <x:v>TBD</x:v>
      </x:c>
      <x:c r="F20" s="40" t="str">
        <x:v>Duckworks</x:v>
      </x:c>
      <x:c r="G20" s="40" t="str">
        <x:v>Application configuration</x:v>
      </x:c>
      <x:c r="H20" s="40" t="str">
        <x:v>Internal</x:v>
      </x:c>
      <x:c r="I20" s="40" t="str">
        <x:v>TBD</x:v>
      </x:c>
      <x:c r="J20" s="40" t="str">
        <x:v>Governance baseline</x:v>
      </x:c>
      <x:c r="K20" s="40" t="str">
        <x:v>TBD</x:v>
      </x:c>
      <x:c r="L20" s="40" t="str">
        <x:v>Prompt/configuration version and hashes to be captured.</x:v>
      </x:c>
    </x:row>
    <x:row r="22" ht="22" customHeight="1">
      <x:c r="A22" s="25" t="str">
        <x:v>Evidence Coverage</x:v>
      </x:c>
      <x:c r="B22" s="25"/>
      <x:c r="C22" s="25"/>
      <x:c r="D22" s="25"/>
    </x:row>
    <x:row r="23">
      <x:c r="A23" s="33" t="str">
        <x:v>Metric</x:v>
      </x:c>
      <x:c r="B23" s="33" t="str">
        <x:v>Value</x:v>
      </x:c>
    </x:row>
    <x:row r="24">
      <x:c r="A24" s="40" t="str">
        <x:v>Component rows</x:v>
      </x:c>
      <x:c r="B24" s="40" t="n">
        <x:v>7</x:v>
      </x:c>
    </x:row>
    <x:row r="25">
      <x:c r="A25" s="40" t="str">
        <x:v>Known</x:v>
      </x:c>
      <x:c r="B25" s="40" t="n">
        <x:f>COUNTIF(K14:K20,"Known")</x:f>
        <x:v>0</x:v>
      </x:c>
    </x:row>
    <x:row r="26">
      <x:c r="A26" s="40" t="str">
        <x:v>Partial</x:v>
      </x:c>
      <x:c r="B26" s="40" t="n">
        <x:f>COUNTIF(K14:K20,"Partial")</x:f>
        <x:v>5</x:v>
      </x:c>
    </x:row>
    <x:row r="27">
      <x:c r="A27" s="40" t="str">
        <x:v>TBD / Unknown</x:v>
      </x:c>
      <x:c r="B27" s="40" t="n">
        <x:f>COUNTIF(K14:K20,"TBD")+COUNTIF(K14:K20,"Unknown")</x:f>
        <x:v>2</x:v>
      </x:c>
    </x:row>
    <x:row r="28">
      <x:c r="A28" s="40" t="str">
        <x:v>Known %</x:v>
      </x:c>
      <x:c r="B28" s="44" t="n">
        <x:f>IF(B24=0,0,B25/B24)</x:f>
        <x:v>0</x:v>
      </x:c>
    </x:row>
    <x:row r="30" ht="22" customHeight="1">
      <x:c r="A30" s="25" t="str">
        <x:v>Minimum Open Evidence / Remediation Gaps</x:v>
      </x:c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</x:row>
    <x:row r="31">
      <x:c r="A31" s="33" t="str">
        <x:v>Component ID</x:v>
      </x:c>
      <x:c r="B31" s="33" t="str">
        <x:v>Component</x:v>
      </x:c>
      <x:c r="C31" s="33" t="str">
        <x:v>Status</x:v>
      </x:c>
      <x:c r="D31" s="33" t="str">
        <x:v>Required Evidence / Gap</x:v>
      </x:c>
    </x:row>
    <x:row r="32">
      <x:c r="A32" s="40" t="str">
        <x:v>AIBOM-AI001-C02</x:v>
      </x:c>
      <x:c r="B32" s="40" t="str">
        <x:v>Multimodal foundation model</x:v>
      </x:c>
      <x:c r="C32" s="40" t="str">
        <x:v>TBD</x:v>
      </x:c>
      <x:c r="D32" s="40" t="str">
        <x:v>Exact model name, revision, hash, license and model card not evidenced.</x:v>
      </x:c>
    </x:row>
    <x:row r="33">
      <x:c r="A33" s="40" t="str">
        <x:v>AIBOM-AI001-C07</x:v>
      </x:c>
      <x:c r="B33" s="40" t="str">
        <x:v>Engineering prompts / guardrails</x:v>
      </x:c>
      <x:c r="C33" s="40" t="str">
        <x:v>TBD</x:v>
      </x:c>
      <x:c r="D33" s="40" t="str">
        <x:v>Prompt/configuration version and hashes to be captured.</x:v>
      </x:c>
    </x:row>
    <x:row r="35" ht="22" customHeight="1">
      <x:c r="A35" s="25" t="str">
        <x:v>AIBOM Update Triggers</x:v>
      </x:c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</x:row>
    <x:row r="36">
      <x:c r="A36" s="48" t="str">
        <x:v>Model / provider / version change</x:v>
      </x:c>
      <x:c r="B36" s="40" t="str">
        <x:v>Update model/service component, identifiers, license, supplier evidence and dependency relationships.</x:v>
      </x:c>
    </x:row>
    <x:row r="37">
      <x:c r="A37" s="48" t="str">
        <x:v>Training / validation / reference data change</x:v>
      </x:c>
      <x:c r="B37" s="40" t="str">
        <x:v>Update Data Assets, provenance, rights, quality and model/data relationships.</x:v>
      </x:c>
    </x:row>
    <x:row r="38">
      <x:c r="A38" s="48" t="str">
        <x:v>RAG corpus / embedding / vector store change</x:v>
      </x:c>
      <x:c r="B38" s="40" t="str">
        <x:v>Update data-store/model/integration components and permission/security evidence.</x:v>
      </x:c>
    </x:row>
    <x:row r="39">
      <x:c r="A39" s="48" t="str">
        <x:v>Integration / API / tool / agent change</x:v>
      </x:c>
      <x:c r="B39" s="40" t="str">
        <x:v>Add/update component and dependency rows; perform change screening.</x:v>
      </x:c>
    </x:row>
    <x:row r="40">
      <x:c r="A40" s="48" t="str">
        <x:v>Hosting / region / subprocessor change</x:v>
      </x:c>
      <x:c r="B40" s="40" t="str">
        <x:v>Update provider/hosting/location and privacy/security/vendor evidence.</x:v>
      </x:c>
    </x:row>
    <x:row r="41">
      <x:c r="A41" s="48" t="str">
        <x:v>Intended purpose / autonomy / human oversight change</x:v>
      </x:c>
      <x:c r="B41" s="40" t="str">
        <x:v>Reassess system boundary, governance gate, legal/risk/impact records and AIBOM.</x:v>
      </x:c>
    </x:row>
    <x:row r="42">
      <x:c r="A42" s="48" t="str">
        <x:v>Incident / vulnerability / integrity issue</x:v>
      </x:c>
      <x:c r="B42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22:D22"/>
    <x:mergeCell ref="A30:L30"/>
    <x:mergeCell ref="A35:L35"/>
  </x:mergeCells>
  <x:conditionalFormatting sqref="K14:K20">
    <x:cfRule type="expression" dxfId="22" priority="1">
      <x:formula>K14="Known"</x:formula>
    </x:cfRule>
    <x:cfRule type="expression" dxfId="23" priority="2">
      <x:formula>K14="Partial"</x:formula>
    </x:cfRule>
    <x:cfRule type="expression" dxfId="24" priority="3">
      <x:formula>K14="TBD"</x:formula>
    </x:cfRule>
    <x:cfRule type="expression" dxfId="25" priority="4">
      <x:formula>K14="Unknown"</x:formula>
    </x:cfRule>
    <x:cfRule type="expression" dxfId="26" priority="5">
      <x:formula>K14="N/A"</x:formula>
    </x:cfRule>
  </x:conditionalFormatting>
  <x:dataValidations count="1">
    <x:dataValidation type="list" sqref="K14:K20">
      <x:formula1>"Known,Partial,TBD,Unknown,N/A"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AI-002 QuackBot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Internal AIBOM baseline; unknown/unverified facts remain TBD/Unknown.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AI-002</x:v>
      </x:c>
      <x:c r="C5" s="48" t="str">
        <x:v>System</x:v>
      </x:c>
      <x:c r="D5" s="40" t="str">
        <x:v>QuackBot</x:v>
      </x:c>
      <x:c r="E5" s="48" t="str">
        <x:v>Lifecycle</x:v>
      </x:c>
      <x:c r="F5" s="40" t="str">
        <x:v>Development</x:v>
      </x:c>
      <x:c r="G5" s="48" t="str">
        <x:v>System Version</x:v>
      </x:c>
      <x:c r="H5" s="40" t="str">
        <x:v>Dev-0.4</x:v>
      </x:c>
    </x:row>
    <x:row r="6">
      <x:c r="A6" s="48" t="str">
        <x:v>Business Owner</x:v>
      </x:c>
      <x:c r="B6" s="40" t="str">
        <x:v>Clara Duckley — Director Customer Operations</x:v>
      </x:c>
      <x:c r="C6" s="48" t="str">
        <x:v>Technical Owner</x:v>
      </x:c>
      <x:c r="D6" s="40" t="str">
        <x:v>Dr. Ada Duckfield — Head of Data &amp; AI</x:v>
      </x:c>
      <x:c r="E6" s="48" t="str">
        <x:v>Current Gate</x:v>
      </x:c>
      <x:c r="F6" s="40" t="str">
        <x:v>Production blocked pending gates</x:v>
      </x:c>
      <x:c r="G6" s="48" t="str">
        <x:v>Residual Risk</x:v>
      </x:c>
      <x:c r="H6" s="40" t="str">
        <x:v>High (12)</x:v>
      </x:c>
    </x:row>
    <x:row r="7">
      <x:c r="A7" s="48" t="str">
        <x:v>AI Type</x:v>
      </x:c>
      <x:c r="B7" s="40" t="str">
        <x:v>Generative AI / RAG</x:v>
      </x:c>
      <x:c r="C7" s="48" t="str">
        <x:v>Model / Technology</x:v>
      </x:c>
      <x:c r="D7" s="40" t="str">
        <x:v>LLM + retrieval-augmented generation</x:v>
      </x:c>
      <x:c r="E7" s="48" t="str">
        <x:v>Provider</x:v>
      </x:c>
      <x:c r="F7" s="40" t="str">
        <x:v>Fictional SaaS LLM provider</x:v>
      </x:c>
      <x:c r="G7" s="48" t="str">
        <x:v>Hosting</x:v>
      </x:c>
      <x:c r="H7" s="40" t="str">
        <x:v>EU-hosted SaaS</x:v>
      </x:c>
    </x:row>
    <x:row r="8">
      <x:c r="A8" s="48" t="str">
        <x:v>Input Data</x:v>
      </x:c>
      <x:c r="B8" s="40" t="str">
        <x:v>Customer queries; product manuals; warranty documents; support knowledge base</x:v>
      </x:c>
      <x:c r="C8" s="48" t="str">
        <x:v>Output / Decision</x:v>
      </x:c>
      <x:c r="D8" s="40" t="str">
        <x:v>Natural-language answers; troubleshooting guidance; escalation recommendation</x:v>
      </x:c>
      <x:c r="E8" s="48" t="str">
        <x:v>Human Oversight</x:v>
      </x:c>
      <x:c r="F8" s="40" t="str">
        <x:v>Human escalation required for consequential, uncertain, sensitive or safety-relevant interactions.</x:v>
      </x:c>
      <x:c r="G8" s="48" t="str">
        <x:v>Third Party</x:v>
      </x:c>
      <x:c r="H8" s="40" t="str">
        <x:v>Yes</x:v>
      </x:c>
    </x:row>
    <x:row r="9">
      <x:c r="A9" s="48" t="str">
        <x:v>Classification</x:v>
      </x:c>
      <x:c r="B9" s="40" t="str">
        <x:v>Mixed</x:v>
      </x:c>
      <x:c r="C9" s="48" t="str">
        <x:v>Personal Data</x:v>
      </x:c>
      <x:c r="D9" s="40" t="str">
        <x:v>Yes</x:v>
      </x:c>
      <x:c r="E9" s="48" t="str">
        <x:v>Sensitive Data</x:v>
      </x:c>
      <x:c r="F9" s="40" t="str">
        <x:v>Potentially</x:v>
      </x:c>
      <x:c r="G9" s="48" t="str">
        <x:v>Confidential / IP</x:v>
      </x:c>
      <x:c r="H9" s="40" t="str">
        <x:v>Potentially</x:v>
      </x:c>
    </x:row>
    <x:row r="10">
      <x:c r="A10" s="48" t="str">
        <x:v>Integrations</x:v>
      </x:c>
      <x:c r="B10" s="40" t="str">
        <x:v>CRM; support knowledge base; identity service</x:v>
      </x:c>
      <x:c r="C10" s="48" t="str">
        <x:v>Operating Countries</x:v>
      </x:c>
      <x:c r="D10" s="40" t="str">
        <x:v>EU / UK</x:v>
      </x:c>
      <x:c r="E10" s="48" t="str">
        <x:v>Data Location</x:v>
      </x:c>
      <x:c r="F10" s="40" t="str">
        <x:v>EU</x:v>
      </x:c>
      <x:c r="G10" s="48" t="str">
        <x:v>AIBOM ID</x:v>
      </x:c>
      <x:c r="H10" s="40" t="str">
        <x:v>AIBOM-AI-002-v1.0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AIBOM-AI002-C01</x:v>
      </x:c>
      <x:c r="B14" s="40" t="str">
        <x:v>Application</x:v>
      </x:c>
      <x:c r="C14" s="40" t="str">
        <x:v>QuackBot</x:v>
      </x:c>
      <x:c r="D14" s="40" t="str">
        <x:v>Customer support application</x:v>
      </x:c>
      <x:c r="E14" s="40" t="str">
        <x:v>Dev-0.4</x:v>
      </x:c>
      <x:c r="F14" s="40" t="str">
        <x:v>Duckworks + fictional SaaS provider</x:v>
      </x:c>
      <x:c r="G14" s="40" t="str">
        <x:v>EU-hosted SaaS</x:v>
      </x:c>
      <x:c r="H14" s="40" t="str">
        <x:v>TBD</x:v>
      </x:c>
      <x:c r="I14" s="40" t="str">
        <x:v>TBD</x:v>
      </x:c>
      <x:c r="J14" s="40" t="str">
        <x:v>Asset Inventory</x:v>
      </x:c>
      <x:c r="K14" s="40" t="str">
        <x:v>Partial</x:v>
      </x:c>
      <x:c r="L14" s="40" t="str">
        <x:v>System version known; detailed application package not evidenced.</x:v>
      </x:c>
    </x:row>
    <x:row r="15">
      <x:c r="A15" s="40" t="str">
        <x:v>AIBOM-AI002-C02</x:v>
      </x:c>
      <x:c r="B15" s="40" t="str">
        <x:v>AI/ML Model</x:v>
      </x:c>
      <x:c r="C15" s="40" t="str">
        <x:v>Underlying LLM</x:v>
      </x:c>
      <x:c r="D15" s="40" t="str">
        <x:v>Natural-language generation</x:v>
      </x:c>
      <x:c r="E15" s="40" t="str">
        <x:v>TBD</x:v>
      </x:c>
      <x:c r="F15" s="40" t="str">
        <x:v>Fictional SaaS LLM provider</x:v>
      </x:c>
      <x:c r="G15" s="40" t="str">
        <x:v>EU-hosted SaaS</x:v>
      </x:c>
      <x:c r="H15" s="40" t="str">
        <x:v>TBD</x:v>
      </x:c>
      <x:c r="I15" s="40" t="str">
        <x:v>TBD</x:v>
      </x:c>
      <x:c r="J15" s="40" t="str">
        <x:v>Asset Inventory</x:v>
      </x:c>
      <x:c r="K15" s="40" t="str">
        <x:v>TBD</x:v>
      </x:c>
      <x:c r="L15" s="40" t="str">
        <x:v>Exact model, version/revision, license and model card not evidenced.</x:v>
      </x:c>
    </x:row>
    <x:row r="16">
      <x:c r="A16" s="40" t="str">
        <x:v>AIBOM-AI002-C03</x:v>
      </x:c>
      <x:c r="B16" s="40" t="str">
        <x:v>Software Component</x:v>
      </x:c>
      <x:c r="C16" s="40" t="str">
        <x:v>RAG orchestration</x:v>
      </x:c>
      <x:c r="D16" s="40" t="str">
        <x:v>Retrieval and grounding workflow</x:v>
      </x:c>
      <x:c r="E16" s="40" t="str">
        <x:v>TBD</x:v>
      </x:c>
      <x:c r="F16" s="40" t="str">
        <x:v>Duckworks / provider</x:v>
      </x:c>
      <x:c r="G16" s="40" t="str">
        <x:v>EU-hosted SaaS</x:v>
      </x:c>
      <x:c r="H16" s="40" t="str">
        <x:v>TBD</x:v>
      </x:c>
      <x:c r="I16" s="40" t="str">
        <x:v>TBD</x:v>
      </x:c>
      <x:c r="J16" s="40" t="str">
        <x:v>Asset Inventory</x:v>
      </x:c>
      <x:c r="K16" s="40" t="str">
        <x:v>Partial</x:v>
      </x:c>
      <x:c r="L16" s="40" t="str">
        <x:v>RAG is known; implementation/library/version not evidenced.</x:v>
      </x:c>
    </x:row>
    <x:row r="17">
      <x:c r="A17" s="40" t="str">
        <x:v>AIBOM-AI002-C04</x:v>
      </x:c>
      <x:c r="B17" s="40" t="str">
        <x:v>Data Store</x:v>
      </x:c>
      <x:c r="C17" s="40" t="str">
        <x:v>Retrieval index / vector store</x:v>
      </x:c>
      <x:c r="D17" s="40" t="str">
        <x:v>Indexes approved support knowledge</x:v>
      </x:c>
      <x:c r="E17" s="40" t="str">
        <x:v>TBD</x:v>
      </x:c>
      <x:c r="F17" s="40" t="str">
        <x:v>TBD</x:v>
      </x:c>
      <x:c r="G17" s="40" t="str">
        <x:v>EU</x:v>
      </x:c>
      <x:c r="H17" s="40" t="str">
        <x:v>TBD</x:v>
      </x:c>
      <x:c r="I17" s="40" t="str">
        <x:v>TBD</x:v>
      </x:c>
      <x:c r="J17" s="40" t="str">
        <x:v>RAG design requirement</x:v>
      </x:c>
      <x:c r="K17" s="40" t="str">
        <x:v>TBD</x:v>
      </x:c>
      <x:c r="L17" s="40" t="str">
        <x:v>Technology and exact location require architecture evidence.</x:v>
      </x:c>
    </x:row>
    <x:row r="18">
      <x:c r="A18" s="40" t="str">
        <x:v>AIBOM-AI002-C05</x:v>
      </x:c>
      <x:c r="B18" s="40" t="str">
        <x:v>Integration</x:v>
      </x:c>
      <x:c r="C18" s="40" t="str">
        <x:v>CRM</x:v>
      </x:c>
      <x:c r="D18" s="40" t="str">
        <x:v>Customer case/context integration</x:v>
      </x:c>
      <x:c r="E18" s="40" t="str">
        <x:v>TBD</x:v>
      </x:c>
      <x:c r="F18" s="40" t="str">
        <x:v>TBD</x:v>
      </x:c>
      <x:c r="G18" s="40" t="str">
        <x:v>Enterprise</x:v>
      </x:c>
      <x:c r="H18" s="40" t="str">
        <x:v>TBD</x:v>
      </x:c>
      <x:c r="I18" s="40" t="str">
        <x:v>TBD</x:v>
      </x:c>
      <x:c r="J18" s="40" t="str">
        <x:v>Asset Inventory</x:v>
      </x:c>
      <x:c r="K18" s="40" t="str">
        <x:v>Partial</x:v>
      </x:c>
      <x:c r="L18" s="40" t="str">
        <x:v>Integration named; product/version/API not evidenced.</x:v>
      </x:c>
    </x:row>
    <x:row r="19">
      <x:c r="A19" s="40" t="str">
        <x:v>AIBOM-AI002-C06</x:v>
      </x:c>
      <x:c r="B19" s="40" t="str">
        <x:v>Integration</x:v>
      </x:c>
      <x:c r="C19" s="40" t="str">
        <x:v>Support knowledge base</x:v>
      </x:c>
      <x:c r="D19" s="40" t="str">
        <x:v>Approved support content source</x:v>
      </x:c>
      <x:c r="E19" s="40" t="str">
        <x:v>TBD</x:v>
      </x:c>
      <x:c r="F19" s="40" t="str">
        <x:v>Duckworks</x:v>
      </x:c>
      <x:c r="G19" s="40" t="str">
        <x:v>Enterprise</x:v>
      </x:c>
      <x:c r="H19" s="40" t="str">
        <x:v>Internal</x:v>
      </x:c>
      <x:c r="I19" s="40" t="str">
        <x:v>TBD</x:v>
      </x:c>
      <x:c r="J19" s="40" t="str">
        <x:v>Asset Inventory</x:v>
      </x:c>
      <x:c r="K19" s="40" t="str">
        <x:v>Partial</x:v>
      </x:c>
      <x:c r="L19" s="40" t="str">
        <x:v>Source system/version and corpus manifest required.</x:v>
      </x:c>
    </x:row>
    <x:row r="20">
      <x:c r="A20" s="40" t="str">
        <x:v>AIBOM-AI002-C07</x:v>
      </x:c>
      <x:c r="B20" s="40" t="str">
        <x:v>Integration</x:v>
      </x:c>
      <x:c r="C20" s="40" t="str">
        <x:v>Identity service</x:v>
      </x:c>
      <x:c r="D20" s="40" t="str">
        <x:v>Authentication / access context</x:v>
      </x:c>
      <x:c r="E20" s="40" t="str">
        <x:v>TBD</x:v>
      </x:c>
      <x:c r="F20" s="40" t="str">
        <x:v>Duckworks</x:v>
      </x:c>
      <x:c r="G20" s="40" t="str">
        <x:v>Enterprise</x:v>
      </x:c>
      <x:c r="H20" s="40" t="str">
        <x:v>TBD</x:v>
      </x:c>
      <x:c r="I20" s="40" t="str">
        <x:v>TBD</x:v>
      </x:c>
      <x:c r="J20" s="40" t="str">
        <x:v>Asset Inventory</x:v>
      </x:c>
      <x:c r="K20" s="40" t="str">
        <x:v>Partial</x:v>
      </x:c>
      <x:c r="L20" s="40" t="str">
        <x:v>Service/version and claims passed to application not evidenced.</x:v>
      </x:c>
    </x:row>
    <x:row r="21">
      <x:c r="A21" s="40" t="str">
        <x:v>AIBOM-AI002-C08</x:v>
      </x:c>
      <x:c r="B21" s="40" t="str">
        <x:v>Configuration</x:v>
      </x:c>
      <x:c r="C21" s="40" t="str">
        <x:v>Safety filters / escalation rules</x:v>
      </x:c>
      <x:c r="D21" s="40" t="str">
        <x:v>Content boundaries and human handoff</x:v>
      </x:c>
      <x:c r="E21" s="40" t="str">
        <x:v>TBD</x:v>
      </x:c>
      <x:c r="F21" s="40" t="str">
        <x:v>Duckworks + provider</x:v>
      </x:c>
      <x:c r="G21" s="40" t="str">
        <x:v>Application configuration</x:v>
      </x:c>
      <x:c r="H21" s="40" t="str">
        <x:v>Internal</x:v>
      </x:c>
      <x:c r="I21" s="40" t="str">
        <x:v>TBD</x:v>
      </x:c>
      <x:c r="J21" s="40" t="str">
        <x:v>Control baseline</x:v>
      </x:c>
      <x:c r="K21" s="40" t="str">
        <x:v>Partial</x:v>
      </x:c>
      <x:c r="L21" s="40" t="str">
        <x:v>Controls described; exact policy/config versions require evidence.</x:v>
      </x:c>
    </x:row>
    <x:row r="23" ht="22" customHeight="1">
      <x:c r="A23" s="25" t="str">
        <x:v>Evidence Coverage</x:v>
      </x:c>
      <x:c r="B23" s="25"/>
      <x:c r="C23" s="25"/>
      <x:c r="D23" s="25"/>
    </x:row>
    <x:row r="24">
      <x:c r="A24" s="33" t="str">
        <x:v>Metric</x:v>
      </x:c>
      <x:c r="B24" s="33" t="str">
        <x:v>Value</x:v>
      </x:c>
    </x:row>
    <x:row r="25">
      <x:c r="A25" s="40" t="str">
        <x:v>Component rows</x:v>
      </x:c>
      <x:c r="B25" s="40" t="n">
        <x:v>8</x:v>
      </x:c>
    </x:row>
    <x:row r="26">
      <x:c r="A26" s="40" t="str">
        <x:v>Known</x:v>
      </x:c>
      <x:c r="B26" s="40" t="n">
        <x:f>COUNTIF(K14:K21,"Known")</x:f>
        <x:v>0</x:v>
      </x:c>
    </x:row>
    <x:row r="27">
      <x:c r="A27" s="40" t="str">
        <x:v>Partial</x:v>
      </x:c>
      <x:c r="B27" s="40" t="n">
        <x:f>COUNTIF(K14:K21,"Partial")</x:f>
        <x:v>6</x:v>
      </x:c>
    </x:row>
    <x:row r="28">
      <x:c r="A28" s="40" t="str">
        <x:v>TBD / Unknown</x:v>
      </x:c>
      <x:c r="B28" s="40" t="n">
        <x:f>COUNTIF(K14:K21,"TBD")+COUNTIF(K14:K21,"Unknown")</x:f>
        <x:v>2</x:v>
      </x:c>
    </x:row>
    <x:row r="29">
      <x:c r="A29" s="40" t="str">
        <x:v>Known %</x:v>
      </x:c>
      <x:c r="B29" s="44" t="n">
        <x:f>IF(B25=0,0,B26/B25)</x:f>
        <x:v>0</x:v>
      </x:c>
    </x:row>
    <x:row r="31" ht="22" customHeight="1">
      <x:c r="A31" s="25" t="str">
        <x:v>Minimum Open Evidence / Remediation Gaps</x:v>
      </x:c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A32" s="33" t="str">
        <x:v>Component ID</x:v>
      </x:c>
      <x:c r="B32" s="33" t="str">
        <x:v>Component</x:v>
      </x:c>
      <x:c r="C32" s="33" t="str">
        <x:v>Status</x:v>
      </x:c>
      <x:c r="D32" s="33" t="str">
        <x:v>Required Evidence / Gap</x:v>
      </x:c>
    </x:row>
    <x:row r="33">
      <x:c r="A33" s="40" t="str">
        <x:v>AIBOM-AI002-C02</x:v>
      </x:c>
      <x:c r="B33" s="40" t="str">
        <x:v>Underlying LLM</x:v>
      </x:c>
      <x:c r="C33" s="40" t="str">
        <x:v>TBD</x:v>
      </x:c>
      <x:c r="D33" s="40" t="str">
        <x:v>Exact model, version/revision, license and model card not evidenced.</x:v>
      </x:c>
    </x:row>
    <x:row r="34">
      <x:c r="A34" s="40" t="str">
        <x:v>AIBOM-AI002-C04</x:v>
      </x:c>
      <x:c r="B34" s="40" t="str">
        <x:v>Retrieval index / vector store</x:v>
      </x:c>
      <x:c r="C34" s="40" t="str">
        <x:v>TBD</x:v>
      </x:c>
      <x:c r="D34" s="40" t="str">
        <x:v>Technology and exact location require architecture evidence.</x:v>
      </x:c>
    </x:row>
    <x:row r="36" ht="22" customHeight="1">
      <x:c r="A36" s="25" t="str">
        <x:v>AIBOM Update Triggers</x:v>
      </x:c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</x:row>
    <x:row r="37">
      <x:c r="A37" s="48" t="str">
        <x:v>Model / provider / version change</x:v>
      </x:c>
      <x:c r="B37" s="40" t="str">
        <x:v>Update model/service component, identifiers, license, supplier evidence and dependency relationships.</x:v>
      </x:c>
    </x:row>
    <x:row r="38">
      <x:c r="A38" s="48" t="str">
        <x:v>Training / validation / reference data change</x:v>
      </x:c>
      <x:c r="B38" s="40" t="str">
        <x:v>Update Data Assets, provenance, rights, quality and model/data relationships.</x:v>
      </x:c>
    </x:row>
    <x:row r="39">
      <x:c r="A39" s="48" t="str">
        <x:v>RAG corpus / embedding / vector store change</x:v>
      </x:c>
      <x:c r="B39" s="40" t="str">
        <x:v>Update data-store/model/integration components and permission/security evidence.</x:v>
      </x:c>
    </x:row>
    <x:row r="40">
      <x:c r="A40" s="48" t="str">
        <x:v>Integration / API / tool / agent change</x:v>
      </x:c>
      <x:c r="B40" s="40" t="str">
        <x:v>Add/update component and dependency rows; perform change screening.</x:v>
      </x:c>
    </x:row>
    <x:row r="41">
      <x:c r="A41" s="48" t="str">
        <x:v>Hosting / region / subprocessor change</x:v>
      </x:c>
      <x:c r="B41" s="40" t="str">
        <x:v>Update provider/hosting/location and privacy/security/vendor evidence.</x:v>
      </x:c>
    </x:row>
    <x:row r="42">
      <x:c r="A42" s="48" t="str">
        <x:v>Intended purpose / autonomy / human oversight change</x:v>
      </x:c>
      <x:c r="B42" s="40" t="str">
        <x:v>Reassess system boundary, governance gate, legal/risk/impact records and AIBOM.</x:v>
      </x:c>
    </x:row>
    <x:row r="43">
      <x:c r="A43" s="48" t="str">
        <x:v>Incident / vulnerability / integrity issue</x:v>
      </x:c>
      <x:c r="B43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23:D23"/>
    <x:mergeCell ref="A31:L31"/>
    <x:mergeCell ref="A36:L36"/>
  </x:mergeCells>
  <x:conditionalFormatting sqref="K14:K21">
    <x:cfRule type="expression" dxfId="27" priority="1">
      <x:formula>K14="Known"</x:formula>
    </x:cfRule>
    <x:cfRule type="expression" dxfId="28" priority="2">
      <x:formula>K14="Partial"</x:formula>
    </x:cfRule>
    <x:cfRule type="expression" dxfId="29" priority="3">
      <x:formula>K14="TBD"</x:formula>
    </x:cfRule>
    <x:cfRule type="expression" dxfId="30" priority="4">
      <x:formula>K14="Unknown"</x:formula>
    </x:cfRule>
    <x:cfRule type="expression" dxfId="31" priority="5">
      <x:formula>K14="N/A"</x:formula>
    </x:cfRule>
  </x:conditionalFormatting>
  <x:dataValidations count="1">
    <x:dataValidation type="list" sqref="K14:K21">
      <x:formula1>"Known,Partial,TBD,Unknown,N/A"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AI-003 FeatherForecast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Internal AIBOM baseline; unknown/unverified facts remain TBD/Unknown.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AI-003</x:v>
      </x:c>
      <x:c r="C5" s="48" t="str">
        <x:v>System</x:v>
      </x:c>
      <x:c r="D5" s="40" t="str">
        <x:v>FeatherForecast</x:v>
      </x:c>
      <x:c r="E5" s="48" t="str">
        <x:v>Lifecycle</x:v>
      </x:c>
      <x:c r="F5" s="40" t="str">
        <x:v>Production</x:v>
      </x:c>
      <x:c r="G5" s="48" t="str">
        <x:v>System Version</x:v>
      </x:c>
      <x:c r="H5" s="40" t="str">
        <x:v>2.3.1</x:v>
      </x:c>
    </x:row>
    <x:row r="6">
      <x:c r="A6" s="48" t="str">
        <x:v>Business Owner</x:v>
      </x:c>
      <x:c r="B6" s="40" t="str">
        <x:v>Tobias Duckman — Director Supply Chain</x:v>
      </x:c>
      <x:c r="C6" s="48" t="str">
        <x:v>Technical Owner</x:v>
      </x:c>
      <x:c r="D6" s="40" t="str">
        <x:v>Dr. Ada Duckfield — Head of Data &amp; AI</x:v>
      </x:c>
      <x:c r="E6" s="48" t="str">
        <x:v>Current Gate</x:v>
      </x:c>
      <x:c r="F6" s="40" t="str">
        <x:v>Continue with monitoring</x:v>
      </x:c>
      <x:c r="G6" s="48" t="str">
        <x:v>Residual Risk</x:v>
      </x:c>
      <x:c r="H6" s="40" t="str">
        <x:v>Moderate (6)</x:v>
      </x:c>
    </x:row>
    <x:row r="7">
      <x:c r="A7" s="48" t="str">
        <x:v>AI Type</x:v>
      </x:c>
      <x:c r="B7" s="40" t="str">
        <x:v>Predictive ML</x:v>
      </x:c>
      <x:c r="C7" s="48" t="str">
        <x:v>Model / Technology</x:v>
      </x:c>
      <x:c r="D7" s="40" t="str">
        <x:v>Gradient-boosting / time-series ensemble</x:v>
      </x:c>
      <x:c r="E7" s="48" t="str">
        <x:v>Provider</x:v>
      </x:c>
      <x:c r="F7" s="40" t="str">
        <x:v>Internal model</x:v>
      </x:c>
      <x:c r="G7" s="48" t="str">
        <x:v>Hosting</x:v>
      </x:c>
      <x:c r="H7" s="40" t="str">
        <x:v>Private cloud</x:v>
      </x:c>
    </x:row>
    <x:row r="8">
      <x:c r="A8" s="48" t="str">
        <x:v>Input Data</x:v>
      </x:c>
      <x:c r="B8" s="40" t="str">
        <x:v>Sales history; inventory; supplier data; production volumes; shipment data; market indicators</x:v>
      </x:c>
      <x:c r="C8" s="48" t="str">
        <x:v>Output / Decision</x:v>
      </x:c>
      <x:c r="D8" s="40" t="str">
        <x:v>Demand forecasts; recommended inventory levels; production planning indicators</x:v>
      </x:c>
      <x:c r="E8" s="48" t="str">
        <x:v>Human Oversight</x:v>
      </x:c>
      <x:c r="F8" s="40" t="str">
        <x:v>Authorized manager approves material purchasing and production commitments.</x:v>
      </x:c>
      <x:c r="G8" s="48" t="str">
        <x:v>Third Party</x:v>
      </x:c>
      <x:c r="H8" s="40" t="str">
        <x:v>No</x:v>
      </x:c>
    </x:row>
    <x:row r="9">
      <x:c r="A9" s="48" t="str">
        <x:v>Classification</x:v>
      </x:c>
      <x:c r="B9" s="40" t="str">
        <x:v>Confidential</x:v>
      </x:c>
      <x:c r="C9" s="48" t="str">
        <x:v>Personal Data</x:v>
      </x:c>
      <x:c r="D9" s="40" t="str">
        <x:v>No</x:v>
      </x:c>
      <x:c r="E9" s="48" t="str">
        <x:v>Sensitive Data</x:v>
      </x:c>
      <x:c r="F9" s="40" t="str">
        <x:v>No</x:v>
      </x:c>
      <x:c r="G9" s="48" t="str">
        <x:v>Confidential / IP</x:v>
      </x:c>
      <x:c r="H9" s="40" t="str">
        <x:v>Yes</x:v>
      </x:c>
    </x:row>
    <x:row r="10">
      <x:c r="A10" s="48" t="str">
        <x:v>Integrations</x:v>
      </x:c>
      <x:c r="B10" s="40" t="str">
        <x:v>ERP; warehouse management; planning platform</x:v>
      </x:c>
      <x:c r="C10" s="48" t="str">
        <x:v>Operating Countries</x:v>
      </x:c>
      <x:c r="D10" s="40" t="str">
        <x:v>EU / UK</x:v>
      </x:c>
      <x:c r="E10" s="48" t="str">
        <x:v>Data Location</x:v>
      </x:c>
      <x:c r="F10" s="40" t="str">
        <x:v>EU</x:v>
      </x:c>
      <x:c r="G10" s="48" t="str">
        <x:v>AIBOM ID</x:v>
      </x:c>
      <x:c r="H10" s="40" t="str">
        <x:v>AIBOM-AI-003-v1.0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AIBOM-AI003-C01</x:v>
      </x:c>
      <x:c r="B14" s="40" t="str">
        <x:v>Application</x:v>
      </x:c>
      <x:c r="C14" s="40" t="str">
        <x:v>FeatherForecast</x:v>
      </x:c>
      <x:c r="D14" s="40" t="str">
        <x:v>Supply-chain forecasting service</x:v>
      </x:c>
      <x:c r="E14" s="40" t="str">
        <x:v>2.3.1</x:v>
      </x:c>
      <x:c r="F14" s="40" t="str">
        <x:v>Duckworks</x:v>
      </x:c>
      <x:c r="G14" s="40" t="str">
        <x:v>Private cloud</x:v>
      </x:c>
      <x:c r="H14" s="40" t="str">
        <x:v>Internal</x:v>
      </x:c>
      <x:c r="I14" s="40" t="str">
        <x:v>TBD</x:v>
      </x:c>
      <x:c r="J14" s="40" t="str">
        <x:v>Asset Inventory</x:v>
      </x:c>
      <x:c r="K14" s="40" t="str">
        <x:v>Known</x:v>
      </x:c>
      <x:c r="L14" s="40" t="str">
        <x:v>Internal production system; exact build/package identifiers still optional evidence gap.</x:v>
      </x:c>
    </x:row>
    <x:row r="15">
      <x:c r="A15" s="40" t="str">
        <x:v>AIBOM-AI003-C02</x:v>
      </x:c>
      <x:c r="B15" s="40" t="str">
        <x:v>AI/ML Model</x:v>
      </x:c>
      <x:c r="C15" s="40" t="str">
        <x:v>Gradient-boosting model</x:v>
      </x:c>
      <x:c r="D15" s="40" t="str">
        <x:v>Forecasting ensemble component</x:v>
      </x:c>
      <x:c r="E15" s="40" t="str">
        <x:v>TBD</x:v>
      </x:c>
      <x:c r="F15" s="40" t="str">
        <x:v>Duckworks</x:v>
      </x:c>
      <x:c r="G15" s="40" t="str">
        <x:v>Private cloud</x:v>
      </x:c>
      <x:c r="H15" s="40" t="str">
        <x:v>Internal</x:v>
      </x:c>
      <x:c r="I15" s="40" t="str">
        <x:v>TBD</x:v>
      </x:c>
      <x:c r="J15" s="40" t="str">
        <x:v>Asset Inventory</x:v>
      </x:c>
      <x:c r="K15" s="40" t="str">
        <x:v>Partial</x:v>
      </x:c>
      <x:c r="L15" s="40" t="str">
        <x:v>Model family known; exact implementation/framework/version not evidenced.</x:v>
      </x:c>
    </x:row>
    <x:row r="16">
      <x:c r="A16" s="40" t="str">
        <x:v>AIBOM-AI003-C03</x:v>
      </x:c>
      <x:c r="B16" s="40" t="str">
        <x:v>AI/ML Model</x:v>
      </x:c>
      <x:c r="C16" s="40" t="str">
        <x:v>Time-series ensemble component</x:v>
      </x:c>
      <x:c r="D16" s="40" t="str">
        <x:v>Forecasting ensemble component</x:v>
      </x:c>
      <x:c r="E16" s="40" t="str">
        <x:v>TBD</x:v>
      </x:c>
      <x:c r="F16" s="40" t="str">
        <x:v>Duckworks</x:v>
      </x:c>
      <x:c r="G16" s="40" t="str">
        <x:v>Private cloud</x:v>
      </x:c>
      <x:c r="H16" s="40" t="str">
        <x:v>Internal</x:v>
      </x:c>
      <x:c r="I16" s="40" t="str">
        <x:v>TBD</x:v>
      </x:c>
      <x:c r="J16" s="40" t="str">
        <x:v>Asset Inventory</x:v>
      </x:c>
      <x:c r="K16" s="40" t="str">
        <x:v>Partial</x:v>
      </x:c>
      <x:c r="L16" s="40" t="str">
        <x:v>Exact algorithms/framework versions not evidenced.</x:v>
      </x:c>
    </x:row>
    <x:row r="17">
      <x:c r="A17" s="40" t="str">
        <x:v>AIBOM-AI003-C04</x:v>
      </x:c>
      <x:c r="B17" s="40" t="str">
        <x:v>Software Component</x:v>
      </x:c>
      <x:c r="C17" s="40" t="str">
        <x:v>Feature / data preparation pipeline</x:v>
      </x:c>
      <x:c r="D17" s="40" t="str">
        <x:v>Transforms operational inputs</x:v>
      </x:c>
      <x:c r="E17" s="40" t="str">
        <x:v>TBD</x:v>
      </x:c>
      <x:c r="F17" s="40" t="str">
        <x:v>Duckworks</x:v>
      </x:c>
      <x:c r="G17" s="40" t="str">
        <x:v>Private cloud</x:v>
      </x:c>
      <x:c r="H17" s="40" t="str">
        <x:v>Internal</x:v>
      </x:c>
      <x:c r="I17" s="40" t="str">
        <x:v>TBD</x:v>
      </x:c>
      <x:c r="J17" s="40" t="str">
        <x:v>Data management requirement</x:v>
      </x:c>
      <x:c r="K17" s="40" t="str">
        <x:v>TBD</x:v>
      </x:c>
      <x:c r="L17" s="40" t="str">
        <x:v>Pipeline components and versions require technical evidence.</x:v>
      </x:c>
    </x:row>
    <x:row r="18">
      <x:c r="A18" s="40" t="str">
        <x:v>AIBOM-AI003-C05</x:v>
      </x:c>
      <x:c r="B18" s="40" t="str">
        <x:v>Integration</x:v>
      </x:c>
      <x:c r="C18" s="40" t="str">
        <x:v>ERP</x:v>
      </x:c>
      <x:c r="D18" s="40" t="str">
        <x:v>Sales / supply planning input</x:v>
      </x:c>
      <x:c r="E18" s="40" t="str">
        <x:v>TBD</x:v>
      </x:c>
      <x:c r="F18" s="40" t="str">
        <x:v>Duckworks / ERP supplier TBD</x:v>
      </x:c>
      <x:c r="G18" s="40" t="str">
        <x:v>Enterprise</x:v>
      </x:c>
      <x:c r="H18" s="40" t="str">
        <x:v>TBD</x:v>
      </x:c>
      <x:c r="I18" s="40" t="str">
        <x:v>TBD</x:v>
      </x:c>
      <x:c r="J18" s="40" t="str">
        <x:v>Asset Inventory</x:v>
      </x:c>
      <x:c r="K18" s="40" t="str">
        <x:v>Partial</x:v>
      </x:c>
      <x:c r="L18" s="40" t="str">
        <x:v>Product/version/API not evidenced.</x:v>
      </x:c>
    </x:row>
    <x:row r="19">
      <x:c r="A19" s="40" t="str">
        <x:v>AIBOM-AI003-C06</x:v>
      </x:c>
      <x:c r="B19" s="40" t="str">
        <x:v>Integration</x:v>
      </x:c>
      <x:c r="C19" s="40" t="str">
        <x:v>Warehouse management system</x:v>
      </x:c>
      <x:c r="D19" s="40" t="str">
        <x:v>Inventory / shipment input</x:v>
      </x:c>
      <x:c r="E19" s="40" t="str">
        <x:v>TBD</x:v>
      </x:c>
      <x:c r="F19" s="40" t="str">
        <x:v>Duckworks / supplier TBD</x:v>
      </x:c>
      <x:c r="G19" s="40" t="str">
        <x:v>Enterprise</x:v>
      </x:c>
      <x:c r="H19" s="40" t="str">
        <x:v>TBD</x:v>
      </x:c>
      <x:c r="I19" s="40" t="str">
        <x:v>TBD</x:v>
      </x:c>
      <x:c r="J19" s="40" t="str">
        <x:v>Asset Inventory</x:v>
      </x:c>
      <x:c r="K19" s="40" t="str">
        <x:v>Partial</x:v>
      </x:c>
      <x:c r="L19" s="40" t="str">
        <x:v>Product/version/API not evidenced.</x:v>
      </x:c>
    </x:row>
    <x:row r="20">
      <x:c r="A20" s="40" t="str">
        <x:v>AIBOM-AI003-C07</x:v>
      </x:c>
      <x:c r="B20" s="40" t="str">
        <x:v>Integration</x:v>
      </x:c>
      <x:c r="C20" s="40" t="str">
        <x:v>Planning platform</x:v>
      </x:c>
      <x:c r="D20" s="40" t="str">
        <x:v>Forecast consumption / planning output</x:v>
      </x:c>
      <x:c r="E20" s="40" t="str">
        <x:v>TBD</x:v>
      </x:c>
      <x:c r="F20" s="40" t="str">
        <x:v>Duckworks / supplier TBD</x:v>
      </x:c>
      <x:c r="G20" s="40" t="str">
        <x:v>Enterprise</x:v>
      </x:c>
      <x:c r="H20" s="40" t="str">
        <x:v>TBD</x:v>
      </x:c>
      <x:c r="I20" s="40" t="str">
        <x:v>TBD</x:v>
      </x:c>
      <x:c r="J20" s="40" t="str">
        <x:v>Asset Inventory</x:v>
      </x:c>
      <x:c r="K20" s="40" t="str">
        <x:v>Partial</x:v>
      </x:c>
      <x:c r="L20" s="40" t="str">
        <x:v>Product/version/API not evidenced.</x:v>
      </x:c>
    </x:row>
    <x:row r="21">
      <x:c r="A21" s="40" t="str">
        <x:v>AIBOM-AI003-C08</x:v>
      </x:c>
      <x:c r="B21" s="40" t="str">
        <x:v>Infrastructure</x:v>
      </x:c>
      <x:c r="C21" s="40" t="str">
        <x:v>Private cloud runtime</x:v>
      </x:c>
      <x:c r="D21" s="40" t="str">
        <x:v>Model hosting / scheduled inference</x:v>
      </x:c>
      <x:c r="E21" s="40" t="str">
        <x:v>TBD</x:v>
      </x:c>
      <x:c r="F21" s="40" t="str">
        <x:v>Duckworks</x:v>
      </x:c>
      <x:c r="G21" s="40" t="str">
        <x:v>EU</x:v>
      </x:c>
      <x:c r="H21" s="40" t="str">
        <x:v>Internal</x:v>
      </x:c>
      <x:c r="I21" s="40" t="str">
        <x:v>TBD</x:v>
      </x:c>
      <x:c r="J21" s="40" t="str">
        <x:v>Asset Inventory</x:v>
      </x:c>
      <x:c r="K21" s="40" t="str">
        <x:v>Partial</x:v>
      </x:c>
      <x:c r="L21" s="40" t="str">
        <x:v>Exact platform/runtime not evidenced.</x:v>
      </x:c>
    </x:row>
    <x:row r="23" ht="22" customHeight="1">
      <x:c r="A23" s="25" t="str">
        <x:v>Evidence Coverage</x:v>
      </x:c>
      <x:c r="B23" s="25"/>
      <x:c r="C23" s="25"/>
      <x:c r="D23" s="25"/>
    </x:row>
    <x:row r="24">
      <x:c r="A24" s="33" t="str">
        <x:v>Metric</x:v>
      </x:c>
      <x:c r="B24" s="33" t="str">
        <x:v>Value</x:v>
      </x:c>
    </x:row>
    <x:row r="25">
      <x:c r="A25" s="40" t="str">
        <x:v>Component rows</x:v>
      </x:c>
      <x:c r="B25" s="40" t="n">
        <x:v>8</x:v>
      </x:c>
    </x:row>
    <x:row r="26">
      <x:c r="A26" s="40" t="str">
        <x:v>Known</x:v>
      </x:c>
      <x:c r="B26" s="40" t="n">
        <x:f>COUNTIF(K14:K21,"Known")</x:f>
        <x:v>1</x:v>
      </x:c>
    </x:row>
    <x:row r="27">
      <x:c r="A27" s="40" t="str">
        <x:v>Partial</x:v>
      </x:c>
      <x:c r="B27" s="40" t="n">
        <x:f>COUNTIF(K14:K21,"Partial")</x:f>
        <x:v>6</x:v>
      </x:c>
    </x:row>
    <x:row r="28">
      <x:c r="A28" s="40" t="str">
        <x:v>TBD / Unknown</x:v>
      </x:c>
      <x:c r="B28" s="40" t="n">
        <x:f>COUNTIF(K14:K21,"TBD")+COUNTIF(K14:K21,"Unknown")</x:f>
        <x:v>1</x:v>
      </x:c>
    </x:row>
    <x:row r="29">
      <x:c r="A29" s="40" t="str">
        <x:v>Known %</x:v>
      </x:c>
      <x:c r="B29" s="44" t="n">
        <x:f>IF(B25=0,0,B26/B25)</x:f>
        <x:v>0.125</x:v>
      </x:c>
    </x:row>
    <x:row r="31" ht="22" customHeight="1">
      <x:c r="A31" s="25" t="str">
        <x:v>Minimum Open Evidence / Remediation Gaps</x:v>
      </x:c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A32" s="33" t="str">
        <x:v>Component ID</x:v>
      </x:c>
      <x:c r="B32" s="33" t="str">
        <x:v>Component</x:v>
      </x:c>
      <x:c r="C32" s="33" t="str">
        <x:v>Status</x:v>
      </x:c>
      <x:c r="D32" s="33" t="str">
        <x:v>Required Evidence / Gap</x:v>
      </x:c>
    </x:row>
    <x:row r="33">
      <x:c r="A33" s="40" t="str">
        <x:v>AIBOM-AI003-C04</x:v>
      </x:c>
      <x:c r="B33" s="40" t="str">
        <x:v>Feature / data preparation pipeline</x:v>
      </x:c>
      <x:c r="C33" s="40" t="str">
        <x:v>TBD</x:v>
      </x:c>
      <x:c r="D33" s="40" t="str">
        <x:v>Pipeline components and versions require technical evidence.</x:v>
      </x:c>
    </x:row>
    <x:row r="35" ht="22" customHeight="1">
      <x:c r="A35" s="25" t="str">
        <x:v>AIBOM Update Triggers</x:v>
      </x:c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</x:row>
    <x:row r="36">
      <x:c r="A36" s="48" t="str">
        <x:v>Model / provider / version change</x:v>
      </x:c>
      <x:c r="B36" s="40" t="str">
        <x:v>Update model/service component, identifiers, license, supplier evidence and dependency relationships.</x:v>
      </x:c>
    </x:row>
    <x:row r="37">
      <x:c r="A37" s="48" t="str">
        <x:v>Training / validation / reference data change</x:v>
      </x:c>
      <x:c r="B37" s="40" t="str">
        <x:v>Update Data Assets, provenance, rights, quality and model/data relationships.</x:v>
      </x:c>
    </x:row>
    <x:row r="38">
      <x:c r="A38" s="48" t="str">
        <x:v>RAG corpus / embedding / vector store change</x:v>
      </x:c>
      <x:c r="B38" s="40" t="str">
        <x:v>Update data-store/model/integration components and permission/security evidence.</x:v>
      </x:c>
    </x:row>
    <x:row r="39">
      <x:c r="A39" s="48" t="str">
        <x:v>Integration / API / tool / agent change</x:v>
      </x:c>
      <x:c r="B39" s="40" t="str">
        <x:v>Add/update component and dependency rows; perform change screening.</x:v>
      </x:c>
    </x:row>
    <x:row r="40">
      <x:c r="A40" s="48" t="str">
        <x:v>Hosting / region / subprocessor change</x:v>
      </x:c>
      <x:c r="B40" s="40" t="str">
        <x:v>Update provider/hosting/location and privacy/security/vendor evidence.</x:v>
      </x:c>
    </x:row>
    <x:row r="41">
      <x:c r="A41" s="48" t="str">
        <x:v>Intended purpose / autonomy / human oversight change</x:v>
      </x:c>
      <x:c r="B41" s="40" t="str">
        <x:v>Reassess system boundary, governance gate, legal/risk/impact records and AIBOM.</x:v>
      </x:c>
    </x:row>
    <x:row r="42">
      <x:c r="A42" s="48" t="str">
        <x:v>Incident / vulnerability / integrity issue</x:v>
      </x:c>
      <x:c r="B42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23:D23"/>
    <x:mergeCell ref="A31:L31"/>
    <x:mergeCell ref="A35:L35"/>
  </x:mergeCells>
  <x:conditionalFormatting sqref="K14:K21">
    <x:cfRule type="expression" dxfId="32" priority="1">
      <x:formula>K14="Known"</x:formula>
    </x:cfRule>
    <x:cfRule type="expression" dxfId="33" priority="2">
      <x:formula>K14="Partial"</x:formula>
    </x:cfRule>
    <x:cfRule type="expression" dxfId="34" priority="3">
      <x:formula>K14="TBD"</x:formula>
    </x:cfRule>
    <x:cfRule type="expression" dxfId="35" priority="4">
      <x:formula>K14="Unknown"</x:formula>
    </x:cfRule>
    <x:cfRule type="expression" dxfId="36" priority="5">
      <x:formula>K14="N/A"</x:formula>
    </x:cfRule>
  </x:conditionalFormatting>
  <x:dataValidations count="1">
    <x:dataValidation type="list" sqref="K14:K21">
      <x:formula1>"Known,Partial,TBD,Unknown,N/A"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AI-004 WingInspect Vision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Internal AIBOM baseline; unknown/unverified facts remain TBD/Unknown.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AI-004</x:v>
      </x:c>
      <x:c r="C5" s="48" t="str">
        <x:v>System</x:v>
      </x:c>
      <x:c r="D5" s="40" t="str">
        <x:v>WingInspect Vision</x:v>
      </x:c>
      <x:c r="E5" s="48" t="str">
        <x:v>Lifecycle</x:v>
      </x:c>
      <x:c r="F5" s="40" t="str">
        <x:v>Pilot</x:v>
      </x:c>
      <x:c r="G5" s="48" t="str">
        <x:v>System Version</x:v>
      </x:c>
      <x:c r="H5" s="40" t="str">
        <x:v>Pilot-1.1</x:v>
      </x:c>
    </x:row>
    <x:row r="6">
      <x:c r="A6" s="48" t="str">
        <x:v>Business Owner</x:v>
      </x:c>
      <x:c r="B6" s="40" t="str">
        <x:v>Henrietta Duckwell — Director Manufacturing</x:v>
      </x:c>
      <x:c r="C6" s="48" t="str">
        <x:v>Technical Owner</x:v>
      </x:c>
      <x:c r="D6" s="40" t="str">
        <x:v>Dr. Ada Duckfield — Head of Data &amp; AI</x:v>
      </x:c>
      <x:c r="E6" s="48" t="str">
        <x:v>Current Gate</x:v>
      </x:c>
      <x:c r="F6" s="40" t="str">
        <x:v>Restricted pilot only</x:v>
      </x:c>
      <x:c r="G6" s="48" t="str">
        <x:v>Residual Risk</x:v>
      </x:c>
      <x:c r="H6" s="40" t="str">
        <x:v>High (10)</x:v>
      </x:c>
    </x:row>
    <x:row r="7">
      <x:c r="A7" s="48" t="str">
        <x:v>AI Type</x:v>
      </x:c>
      <x:c r="B7" s="40" t="str">
        <x:v>Computer Vision</x:v>
      </x:c>
      <x:c r="C7" s="48" t="str">
        <x:v>Model / Technology</x:v>
      </x:c>
      <x:c r="D7" s="40" t="str">
        <x:v>Vision classifier / object detection</x:v>
      </x:c>
      <x:c r="E7" s="48" t="str">
        <x:v>Provider</x:v>
      </x:c>
      <x:c r="F7" s="40" t="str">
        <x:v>Internal model</x:v>
      </x:c>
      <x:c r="G7" s="48" t="str">
        <x:v>Hosting</x:v>
      </x:c>
      <x:c r="H7" s="40" t="str">
        <x:v>On-premise edge + private cloud</x:v>
      </x:c>
    </x:row>
    <x:row r="8">
      <x:c r="A8" s="48" t="str">
        <x:v>Input Data</x:v>
      </x:c>
      <x:c r="B8" s="40" t="str">
        <x:v>Production-line images; defect images; product specifications; inspection results</x:v>
      </x:c>
      <x:c r="C8" s="48" t="str">
        <x:v>Output / Decision</x:v>
      </x:c>
      <x:c r="D8" s="40" t="str">
        <x:v>Defect flags; inspection priority; quality-control recommendations</x:v>
      </x:c>
      <x:c r="E8" s="48" t="str">
        <x:v>Human Oversight</x:v>
      </x:c>
      <x:c r="F8" s="40" t="str">
        <x:v>Qualified human inspector retains final acceptance/rejection authority.</x:v>
      </x:c>
      <x:c r="G8" s="48" t="str">
        <x:v>Third Party</x:v>
      </x:c>
      <x:c r="H8" s="40" t="str">
        <x:v>No</x:v>
      </x:c>
    </x:row>
    <x:row r="9">
      <x:c r="A9" s="48" t="str">
        <x:v>Classification</x:v>
      </x:c>
      <x:c r="B9" s="40" t="str">
        <x:v>Confidential</x:v>
      </x:c>
      <x:c r="C9" s="48" t="str">
        <x:v>Personal Data</x:v>
      </x:c>
      <x:c r="D9" s="40" t="str">
        <x:v>No</x:v>
      </x:c>
      <x:c r="E9" s="48" t="str">
        <x:v>Sensitive Data</x:v>
      </x:c>
      <x:c r="F9" s="40" t="str">
        <x:v>No</x:v>
      </x:c>
      <x:c r="G9" s="48" t="str">
        <x:v>Confidential / IP</x:v>
      </x:c>
      <x:c r="H9" s="40" t="str">
        <x:v>Yes</x:v>
      </x:c>
    </x:row>
    <x:row r="10">
      <x:c r="A10" s="48" t="str">
        <x:v>Integrations</x:v>
      </x:c>
      <x:c r="B10" s="40" t="str">
        <x:v>Production cameras; quality management system</x:v>
      </x:c>
      <x:c r="C10" s="48" t="str">
        <x:v>Operating Countries</x:v>
      </x:c>
      <x:c r="D10" s="40" t="str">
        <x:v>EU</x:v>
      </x:c>
      <x:c r="E10" s="48" t="str">
        <x:v>Data Location</x:v>
      </x:c>
      <x:c r="F10" s="40" t="str">
        <x:v>EU</x:v>
      </x:c>
      <x:c r="G10" s="48" t="str">
        <x:v>AIBOM ID</x:v>
      </x:c>
      <x:c r="H10" s="40" t="str">
        <x:v>AIBOM-AI-004-v1.0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AIBOM-AI004-C01</x:v>
      </x:c>
      <x:c r="B14" s="40" t="str">
        <x:v>Application</x:v>
      </x:c>
      <x:c r="C14" s="40" t="str">
        <x:v>WingInspect Vision</x:v>
      </x:c>
      <x:c r="D14" s="40" t="str">
        <x:v>Manufacturing defect-detection application</x:v>
      </x:c>
      <x:c r="E14" s="40" t="str">
        <x:v>Pilot-1.1</x:v>
      </x:c>
      <x:c r="F14" s="40" t="str">
        <x:v>Duckworks</x:v>
      </x:c>
      <x:c r="G14" s="40" t="str">
        <x:v>On-premise edge + private cloud</x:v>
      </x:c>
      <x:c r="H14" s="40" t="str">
        <x:v>Internal</x:v>
      </x:c>
      <x:c r="I14" s="40" t="str">
        <x:v>TBD</x:v>
      </x:c>
      <x:c r="J14" s="40" t="str">
        <x:v>Asset Inventory</x:v>
      </x:c>
      <x:c r="K14" s="40" t="str">
        <x:v>Known</x:v>
      </x:c>
      <x:c r="L14" s="40" t="str">
        <x:v>Pilot system/version known.</x:v>
      </x:c>
    </x:row>
    <x:row r="15">
      <x:c r="A15" s="40" t="str">
        <x:v>AIBOM-AI004-C02</x:v>
      </x:c>
      <x:c r="B15" s="40" t="str">
        <x:v>AI/ML Model</x:v>
      </x:c>
      <x:c r="C15" s="40" t="str">
        <x:v>Vision classifier / object detector</x:v>
      </x:c>
      <x:c r="D15" s="40" t="str">
        <x:v>Defect detection</x:v>
      </x:c>
      <x:c r="E15" s="40" t="str">
        <x:v>TBD</x:v>
      </x:c>
      <x:c r="F15" s="40" t="str">
        <x:v>Duckworks</x:v>
      </x:c>
      <x:c r="G15" s="40" t="str">
        <x:v>Edge / private cloud</x:v>
      </x:c>
      <x:c r="H15" s="40" t="str">
        <x:v>Internal</x:v>
      </x:c>
      <x:c r="I15" s="40" t="str">
        <x:v>TBD</x:v>
      </x:c>
      <x:c r="J15" s="40" t="str">
        <x:v>Asset Inventory</x:v>
      </x:c>
      <x:c r="K15" s="40" t="str">
        <x:v>Partial</x:v>
      </x:c>
      <x:c r="L15" s="40" t="str">
        <x:v>Model family known; exact architecture/framework/hash not evidenced.</x:v>
      </x:c>
    </x:row>
    <x:row r="16">
      <x:c r="A16" s="40" t="str">
        <x:v>AIBOM-AI004-C03</x:v>
      </x:c>
      <x:c r="B16" s="40" t="str">
        <x:v>Infrastructure</x:v>
      </x:c>
      <x:c r="C16" s="40" t="str">
        <x:v>Edge inference runtime</x:v>
      </x:c>
      <x:c r="D16" s="40" t="str">
        <x:v>On-line manufacturing inference</x:v>
      </x:c>
      <x:c r="E16" s="40" t="str">
        <x:v>TBD</x:v>
      </x:c>
      <x:c r="F16" s="40" t="str">
        <x:v>Duckworks</x:v>
      </x:c>
      <x:c r="G16" s="40" t="str">
        <x:v>On-premise edge</x:v>
      </x:c>
      <x:c r="H16" s="40" t="str">
        <x:v>Internal</x:v>
      </x:c>
      <x:c r="I16" s="40" t="str">
        <x:v>TBD</x:v>
      </x:c>
      <x:c r="J16" s="40" t="str">
        <x:v>Asset Inventory</x:v>
      </x:c>
      <x:c r="K16" s="40" t="str">
        <x:v>TBD</x:v>
      </x:c>
      <x:c r="L16" s="40" t="str">
        <x:v>Runtime/container/OS/accelerator versions not evidenced.</x:v>
      </x:c>
    </x:row>
    <x:row r="17">
      <x:c r="A17" s="40" t="str">
        <x:v>AIBOM-AI004-C04</x:v>
      </x:c>
      <x:c r="B17" s="40" t="str">
        <x:v>Infrastructure</x:v>
      </x:c>
      <x:c r="C17" s="40" t="str">
        <x:v>Private cloud environment</x:v>
      </x:c>
      <x:c r="D17" s="40" t="str">
        <x:v>Model management / analytics</x:v>
      </x:c>
      <x:c r="E17" s="40" t="str">
        <x:v>TBD</x:v>
      </x:c>
      <x:c r="F17" s="40" t="str">
        <x:v>Duckworks</x:v>
      </x:c>
      <x:c r="G17" s="40" t="str">
        <x:v>EU</x:v>
      </x:c>
      <x:c r="H17" s="40" t="str">
        <x:v>Internal</x:v>
      </x:c>
      <x:c r="I17" s="40" t="str">
        <x:v>TBD</x:v>
      </x:c>
      <x:c r="J17" s="40" t="str">
        <x:v>Asset Inventory</x:v>
      </x:c>
      <x:c r="K17" s="40" t="str">
        <x:v>Partial</x:v>
      </x:c>
      <x:c r="L17" s="40" t="str">
        <x:v>Exact platform not evidenced.</x:v>
      </x:c>
    </x:row>
    <x:row r="18">
      <x:c r="A18" s="40" t="str">
        <x:v>AIBOM-AI004-C05</x:v>
      </x:c>
      <x:c r="B18" s="40" t="str">
        <x:v>Integration</x:v>
      </x:c>
      <x:c r="C18" s="40" t="str">
        <x:v>Production cameras</x:v>
      </x:c>
      <x:c r="D18" s="40" t="str">
        <x:v>Image acquisition</x:v>
      </x:c>
      <x:c r="E18" s="40" t="str">
        <x:v>TBD</x:v>
      </x:c>
      <x:c r="F18" s="40" t="str">
        <x:v>Duckworks / camera supplier TBD</x:v>
      </x:c>
      <x:c r="G18" s="40" t="str">
        <x:v>Manufacturing line</x:v>
      </x:c>
      <x:c r="H18" s="40" t="str">
        <x:v>TBD</x:v>
      </x:c>
      <x:c r="I18" s="40" t="str">
        <x:v>TBD</x:v>
      </x:c>
      <x:c r="J18" s="40" t="str">
        <x:v>Asset Inventory</x:v>
      </x:c>
      <x:c r="K18" s="40" t="str">
        <x:v>Partial</x:v>
      </x:c>
      <x:c r="L18" s="40" t="str">
        <x:v>Camera models/firmware/calibration metadata not evidenced.</x:v>
      </x:c>
    </x:row>
    <x:row r="19">
      <x:c r="A19" s="40" t="str">
        <x:v>AIBOM-AI004-C06</x:v>
      </x:c>
      <x:c r="B19" s="40" t="str">
        <x:v>Integration</x:v>
      </x:c>
      <x:c r="C19" s="40" t="str">
        <x:v>Quality management system</x:v>
      </x:c>
      <x:c r="D19" s="40" t="str">
        <x:v>Inspection results / quality workflow</x:v>
      </x:c>
      <x:c r="E19" s="40" t="str">
        <x:v>TBD</x:v>
      </x:c>
      <x:c r="F19" s="40" t="str">
        <x:v>Duckworks / supplier TBD</x:v>
      </x:c>
      <x:c r="G19" s="40" t="str">
        <x:v>Enterprise</x:v>
      </x:c>
      <x:c r="H19" s="40" t="str">
        <x:v>TBD</x:v>
      </x:c>
      <x:c r="I19" s="40" t="str">
        <x:v>TBD</x:v>
      </x:c>
      <x:c r="J19" s="40" t="str">
        <x:v>Asset Inventory</x:v>
      </x:c>
      <x:c r="K19" s="40" t="str">
        <x:v>Partial</x:v>
      </x:c>
      <x:c r="L19" s="40" t="str">
        <x:v>Product/version/API not evidenced.</x:v>
      </x:c>
    </x:row>
    <x:row r="20">
      <x:c r="A20" s="40" t="str">
        <x:v>AIBOM-AI004-C07</x:v>
      </x:c>
      <x:c r="B20" s="40" t="str">
        <x:v>Software Component</x:v>
      </x:c>
      <x:c r="C20" s="40" t="str">
        <x:v>Image preprocessing pipeline</x:v>
      </x:c>
      <x:c r="D20" s="40" t="str">
        <x:v>Prepares production images</x:v>
      </x:c>
      <x:c r="E20" s="40" t="str">
        <x:v>TBD</x:v>
      </x:c>
      <x:c r="F20" s="40" t="str">
        <x:v>Duckworks</x:v>
      </x:c>
      <x:c r="G20" s="40" t="str">
        <x:v>Edge / private cloud</x:v>
      </x:c>
      <x:c r="H20" s="40" t="str">
        <x:v>Internal</x:v>
      </x:c>
      <x:c r="I20" s="40" t="str">
        <x:v>TBD</x:v>
      </x:c>
      <x:c r="J20" s="40" t="str">
        <x:v>Model governance requirement</x:v>
      </x:c>
      <x:c r="K20" s="40" t="str">
        <x:v>TBD</x:v>
      </x:c>
      <x:c r="L20" s="40" t="str">
        <x:v>Transforms/libraries/version not evidenced.</x:v>
      </x:c>
    </x:row>
    <x:row r="21">
      <x:c r="A21" s="40" t="str">
        <x:v>AIBOM-AI004-C08</x:v>
      </x:c>
      <x:c r="B21" s="40" t="str">
        <x:v>Software Component</x:v>
      </x:c>
      <x:c r="C21" s="40" t="str">
        <x:v>Performance monitoring pipeline</x:v>
      </x:c>
      <x:c r="D21" s="40" t="str">
        <x:v>Tracks false positives/negatives and data quality</x:v>
      </x:c>
      <x:c r="E21" s="40" t="str">
        <x:v>TBD</x:v>
      </x:c>
      <x:c r="F21" s="40" t="str">
        <x:v>Duckworks</x:v>
      </x:c>
      <x:c r="G21" s="40" t="str">
        <x:v>Private cloud</x:v>
      </x:c>
      <x:c r="H21" s="40" t="str">
        <x:v>Internal</x:v>
      </x:c>
      <x:c r="I21" s="40" t="str">
        <x:v>TBD</x:v>
      </x:c>
      <x:c r="J21" s="40" t="str">
        <x:v>Inventory monitoring baseline</x:v>
      </x:c>
      <x:c r="K21" s="40" t="str">
        <x:v>TBD</x:v>
      </x:c>
      <x:c r="L21" s="40" t="str">
        <x:v>Implementation/version not evidenced.</x:v>
      </x:c>
    </x:row>
    <x:row r="23" ht="22" customHeight="1">
      <x:c r="A23" s="25" t="str">
        <x:v>Evidence Coverage</x:v>
      </x:c>
      <x:c r="B23" s="25"/>
      <x:c r="C23" s="25"/>
      <x:c r="D23" s="25"/>
    </x:row>
    <x:row r="24">
      <x:c r="A24" s="33" t="str">
        <x:v>Metric</x:v>
      </x:c>
      <x:c r="B24" s="33" t="str">
        <x:v>Value</x:v>
      </x:c>
    </x:row>
    <x:row r="25">
      <x:c r="A25" s="40" t="str">
        <x:v>Component rows</x:v>
      </x:c>
      <x:c r="B25" s="40" t="n">
        <x:v>8</x:v>
      </x:c>
    </x:row>
    <x:row r="26">
      <x:c r="A26" s="40" t="str">
        <x:v>Known</x:v>
      </x:c>
      <x:c r="B26" s="40" t="n">
        <x:f>COUNTIF(K14:K21,"Known")</x:f>
        <x:v>1</x:v>
      </x:c>
    </x:row>
    <x:row r="27">
      <x:c r="A27" s="40" t="str">
        <x:v>Partial</x:v>
      </x:c>
      <x:c r="B27" s="40" t="n">
        <x:f>COUNTIF(K14:K21,"Partial")</x:f>
        <x:v>4</x:v>
      </x:c>
    </x:row>
    <x:row r="28">
      <x:c r="A28" s="40" t="str">
        <x:v>TBD / Unknown</x:v>
      </x:c>
      <x:c r="B28" s="40" t="n">
        <x:f>COUNTIF(K14:K21,"TBD")+COUNTIF(K14:K21,"Unknown")</x:f>
        <x:v>3</x:v>
      </x:c>
    </x:row>
    <x:row r="29">
      <x:c r="A29" s="40" t="str">
        <x:v>Known %</x:v>
      </x:c>
      <x:c r="B29" s="44" t="n">
        <x:f>IF(B25=0,0,B26/B25)</x:f>
        <x:v>0.125</x:v>
      </x:c>
    </x:row>
    <x:row r="31" ht="22" customHeight="1">
      <x:c r="A31" s="25" t="str">
        <x:v>Minimum Open Evidence / Remediation Gaps</x:v>
      </x:c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A32" s="33" t="str">
        <x:v>Component ID</x:v>
      </x:c>
      <x:c r="B32" s="33" t="str">
        <x:v>Component</x:v>
      </x:c>
      <x:c r="C32" s="33" t="str">
        <x:v>Status</x:v>
      </x:c>
      <x:c r="D32" s="33" t="str">
        <x:v>Required Evidence / Gap</x:v>
      </x:c>
    </x:row>
    <x:row r="33">
      <x:c r="A33" s="40" t="str">
        <x:v>AIBOM-AI004-C03</x:v>
      </x:c>
      <x:c r="B33" s="40" t="str">
        <x:v>Edge inference runtime</x:v>
      </x:c>
      <x:c r="C33" s="40" t="str">
        <x:v>TBD</x:v>
      </x:c>
      <x:c r="D33" s="40" t="str">
        <x:v>Runtime/container/OS/accelerator versions not evidenced.</x:v>
      </x:c>
    </x:row>
    <x:row r="34">
      <x:c r="A34" s="40" t="str">
        <x:v>AIBOM-AI004-C07</x:v>
      </x:c>
      <x:c r="B34" s="40" t="str">
        <x:v>Image preprocessing pipeline</x:v>
      </x:c>
      <x:c r="C34" s="40" t="str">
        <x:v>TBD</x:v>
      </x:c>
      <x:c r="D34" s="40" t="str">
        <x:v>Transforms/libraries/version not evidenced.</x:v>
      </x:c>
    </x:row>
    <x:row r="35">
      <x:c r="A35" s="40" t="str">
        <x:v>AIBOM-AI004-C08</x:v>
      </x:c>
      <x:c r="B35" s="40" t="str">
        <x:v>Performance monitoring pipeline</x:v>
      </x:c>
      <x:c r="C35" s="40" t="str">
        <x:v>TBD</x:v>
      </x:c>
      <x:c r="D35" s="40" t="str">
        <x:v>Implementation/version not evidenced.</x:v>
      </x:c>
    </x:row>
    <x:row r="37" ht="22" customHeight="1">
      <x:c r="A37" s="25" t="str">
        <x:v>AIBOM Update Triggers</x:v>
      </x:c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</x:row>
    <x:row r="38">
      <x:c r="A38" s="48" t="str">
        <x:v>Model / provider / version change</x:v>
      </x:c>
      <x:c r="B38" s="40" t="str">
        <x:v>Update model/service component, identifiers, license, supplier evidence and dependency relationships.</x:v>
      </x:c>
    </x:row>
    <x:row r="39">
      <x:c r="A39" s="48" t="str">
        <x:v>Training / validation / reference data change</x:v>
      </x:c>
      <x:c r="B39" s="40" t="str">
        <x:v>Update Data Assets, provenance, rights, quality and model/data relationships.</x:v>
      </x:c>
    </x:row>
    <x:row r="40">
      <x:c r="A40" s="48" t="str">
        <x:v>RAG corpus / embedding / vector store change</x:v>
      </x:c>
      <x:c r="B40" s="40" t="str">
        <x:v>Update data-store/model/integration components and permission/security evidence.</x:v>
      </x:c>
    </x:row>
    <x:row r="41">
      <x:c r="A41" s="48" t="str">
        <x:v>Integration / API / tool / agent change</x:v>
      </x:c>
      <x:c r="B41" s="40" t="str">
        <x:v>Add/update component and dependency rows; perform change screening.</x:v>
      </x:c>
    </x:row>
    <x:row r="42">
      <x:c r="A42" s="48" t="str">
        <x:v>Hosting / region / subprocessor change</x:v>
      </x:c>
      <x:c r="B42" s="40" t="str">
        <x:v>Update provider/hosting/location and privacy/security/vendor evidence.</x:v>
      </x:c>
    </x:row>
    <x:row r="43">
      <x:c r="A43" s="48" t="str">
        <x:v>Intended purpose / autonomy / human oversight change</x:v>
      </x:c>
      <x:c r="B43" s="40" t="str">
        <x:v>Reassess system boundary, governance gate, legal/risk/impact records and AIBOM.</x:v>
      </x:c>
    </x:row>
    <x:row r="44">
      <x:c r="A44" s="48" t="str">
        <x:v>Incident / vulnerability / integrity issue</x:v>
      </x:c>
      <x:c r="B44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23:D23"/>
    <x:mergeCell ref="A31:L31"/>
    <x:mergeCell ref="A37:L37"/>
  </x:mergeCells>
  <x:conditionalFormatting sqref="K14:K21">
    <x:cfRule type="expression" dxfId="37" priority="1">
      <x:formula>K14="Known"</x:formula>
    </x:cfRule>
    <x:cfRule type="expression" dxfId="38" priority="2">
      <x:formula>K14="Partial"</x:formula>
    </x:cfRule>
    <x:cfRule type="expression" dxfId="39" priority="3">
      <x:formula>K14="TBD"</x:formula>
    </x:cfRule>
    <x:cfRule type="expression" dxfId="40" priority="4">
      <x:formula>K14="Unknown"</x:formula>
    </x:cfRule>
    <x:cfRule type="expression" dxfId="41" priority="5">
      <x:formula>K14="N/A"</x:formula>
    </x:cfRule>
  </x:conditionalFormatting>
  <x:dataValidations count="1">
    <x:dataValidation type="list" sqref="K14:K21">
      <x:formula1>"Known,Partial,TBD,Unknown,N/A"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AI-005 DuckTalent AI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Internal AIBOM baseline; unknown/unverified facts remain TBD/Unknown.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AI-005</x:v>
      </x:c>
      <x:c r="C5" s="48" t="str">
        <x:v>System</x:v>
      </x:c>
      <x:c r="D5" s="40" t="str">
        <x:v>DuckTalent AI</x:v>
      </x:c>
      <x:c r="E5" s="48" t="str">
        <x:v>Lifecycle</x:v>
      </x:c>
      <x:c r="F5" s="40" t="str">
        <x:v>Concept</x:v>
      </x:c>
      <x:c r="G5" s="48" t="str">
        <x:v>System Version</x:v>
      </x:c>
      <x:c r="H5" s="40" t="str">
        <x:v>Concept</x:v>
      </x:c>
    </x:row>
    <x:row r="6">
      <x:c r="A6" s="48" t="str">
        <x:v>Business Owner</x:v>
      </x:c>
      <x:c r="B6" s="40" t="str">
        <x:v>Beatrice Van Duck — Chief People Officer</x:v>
      </x:c>
      <x:c r="C6" s="48" t="str">
        <x:v>Technical Owner</x:v>
      </x:c>
      <x:c r="D6" s="40" t="str">
        <x:v>Dr. Ada Duckfield — Head of Data &amp; AI</x:v>
      </x:c>
      <x:c r="E6" s="48" t="str">
        <x:v>Current Gate</x:v>
      </x:c>
      <x:c r="F6" s="40" t="str">
        <x:v>Do not deploy in current state</x:v>
      </x:c>
      <x:c r="G6" s="48" t="str">
        <x:v>Residual Risk</x:v>
      </x:c>
      <x:c r="H6" s="40" t="str">
        <x:v>Critical (20)</x:v>
      </x:c>
    </x:row>
    <x:row r="7">
      <x:c r="A7" s="48" t="str">
        <x:v>AI Type</x:v>
      </x:c>
      <x:c r="B7" s="40" t="str">
        <x:v>NLP / Ranking / Predictive AI</x:v>
      </x:c>
      <x:c r="C7" s="48" t="str">
        <x:v>Model / Technology</x:v>
      </x:c>
      <x:c r="D7" s="40" t="str">
        <x:v>TBD — underlying model/provider/version not evidenced</x:v>
      </x:c>
      <x:c r="E7" s="48" t="str">
        <x:v>Provider</x:v>
      </x:c>
      <x:c r="F7" s="40" t="str">
        <x:v>Vendor not selected</x:v>
      </x:c>
      <x:c r="G7" s="48" t="str">
        <x:v>Hosting</x:v>
      </x:c>
      <x:c r="H7" s="40" t="str">
        <x:v>TBD</x:v>
      </x:c>
    </x:row>
    <x:row r="8">
      <x:c r="A8" s="48" t="str">
        <x:v>Input Data</x:v>
      </x:c>
      <x:c r="B8" s="40" t="str">
        <x:v>CVs; application forms; qualifications; employment history; skills; interview information</x:v>
      </x:c>
      <x:c r="C8" s="48" t="str">
        <x:v>Output / Decision</x:v>
      </x:c>
      <x:c r="D8" s="40" t="str">
        <x:v>Candidate summaries; suitability indicators; ranked shortlist recommendations</x:v>
      </x:c>
      <x:c r="E8" s="48" t="str">
        <x:v>Human Oversight</x:v>
      </x:c>
      <x:c r="F8" s="40" t="str">
        <x:v>No automated rejection or hiring; recruiters/hiring managers remain accountable for consequential decisions.</x:v>
      </x:c>
      <x:c r="G8" s="48" t="str">
        <x:v>Third Party</x:v>
      </x:c>
      <x:c r="H8" s="40" t="str">
        <x:v>Unknown</x:v>
      </x:c>
    </x:row>
    <x:row r="9">
      <x:c r="A9" s="48" t="str">
        <x:v>Classification</x:v>
      </x:c>
      <x:c r="B9" s="40" t="str">
        <x:v>Highly Confidential</x:v>
      </x:c>
      <x:c r="C9" s="48" t="str">
        <x:v>Personal Data</x:v>
      </x:c>
      <x:c r="D9" s="40" t="str">
        <x:v>Yes</x:v>
      </x:c>
      <x:c r="E9" s="48" t="str">
        <x:v>Sensitive Data</x:v>
      </x:c>
      <x:c r="F9" s="40" t="str">
        <x:v>Potentially</x:v>
      </x:c>
      <x:c r="G9" s="48" t="str">
        <x:v>Confidential / IP</x:v>
      </x:c>
      <x:c r="H9" s="40" t="str">
        <x:v>No</x:v>
      </x:c>
    </x:row>
    <x:row r="10">
      <x:c r="A10" s="48" t="str">
        <x:v>Integrations</x:v>
      </x:c>
      <x:c r="B10" s="40" t="str">
        <x:v>ATS; HRIS; identity platform</x:v>
      </x:c>
      <x:c r="C10" s="48" t="str">
        <x:v>Operating Countries</x:v>
      </x:c>
      <x:c r="D10" s="40" t="str">
        <x:v>EU / UK</x:v>
      </x:c>
      <x:c r="E10" s="48" t="str">
        <x:v>Data Location</x:v>
      </x:c>
      <x:c r="F10" s="40" t="str">
        <x:v>TBD</x:v>
      </x:c>
      <x:c r="G10" s="48" t="str">
        <x:v>AIBOM ID</x:v>
      </x:c>
      <x:c r="H10" s="40" t="str">
        <x:v>AIBOM-AI-005-v1.0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AIBOM-AI005-C01</x:v>
      </x:c>
      <x:c r="B14" s="40" t="str">
        <x:v>Application</x:v>
      </x:c>
      <x:c r="C14" s="40" t="str">
        <x:v>DuckTalent AI</x:v>
      </x:c>
      <x:c r="D14" s="40" t="str">
        <x:v>Recruitment screening/ranking application</x:v>
      </x:c>
      <x:c r="E14" s="40" t="str">
        <x:v>Concept</x:v>
      </x:c>
      <x:c r="F14" s="40" t="str">
        <x:v>Duckworks</x:v>
      </x:c>
      <x:c r="G14" s="40" t="str">
        <x:v>TBD</x:v>
      </x:c>
      <x:c r="H14" s="40" t="str">
        <x:v>TBD</x:v>
      </x:c>
      <x:c r="I14" s="40" t="str">
        <x:v>TBD</x:v>
      </x:c>
      <x:c r="J14" s="40" t="str">
        <x:v>Asset Inventory</x:v>
      </x:c>
      <x:c r="K14" s="40" t="str">
        <x:v>Partial</x:v>
      </x:c>
      <x:c r="L14" s="40" t="str">
        <x:v>Concept only; no approved production architecture.</x:v>
      </x:c>
    </x:row>
    <x:row r="15">
      <x:c r="A15" s="40" t="str">
        <x:v>AIBOM-AI005-C02</x:v>
      </x:c>
      <x:c r="B15" s="40" t="str">
        <x:v>AI/ML Model</x:v>
      </x:c>
      <x:c r="C15" s="40" t="str">
        <x:v>Underlying recruitment model</x:v>
      </x:c>
      <x:c r="D15" s="40" t="str">
        <x:v>Parsing / ranking / recommendation</x:v>
      </x:c>
      <x:c r="E15" s="40" t="str">
        <x:v>TBD</x:v>
      </x:c>
      <x:c r="F15" s="40" t="str">
        <x:v>Vendor not selected</x:v>
      </x:c>
      <x:c r="G15" s="40" t="str">
        <x:v>TBD</x:v>
      </x:c>
      <x:c r="H15" s="40" t="str">
        <x:v>TBD</x:v>
      </x:c>
      <x:c r="I15" s="40" t="str">
        <x:v>TBD</x:v>
      </x:c>
      <x:c r="J15" s="40" t="str">
        <x:v>Asset Inventory</x:v>
      </x:c>
      <x:c r="K15" s="40" t="str">
        <x:v>Unknown</x:v>
      </x:c>
      <x:c r="L15" s="40" t="str">
        <x:v>Provider/model/version/license/model card not selected or evidenced.</x:v>
      </x:c>
    </x:row>
    <x:row r="16">
      <x:c r="A16" s="40" t="str">
        <x:v>AIBOM-AI005-C03</x:v>
      </x:c>
      <x:c r="B16" s="40" t="str">
        <x:v>Software Component</x:v>
      </x:c>
      <x:c r="C16" s="40" t="str">
        <x:v>Ranking / feature logic</x:v>
      </x:c>
      <x:c r="D16" s="40" t="str">
        <x:v>Candidate comparison and ranking</x:v>
      </x:c>
      <x:c r="E16" s="40" t="str">
        <x:v>TBD</x:v>
      </x:c>
      <x:c r="F16" s="40" t="str">
        <x:v>TBD</x:v>
      </x:c>
      <x:c r="G16" s="40" t="str">
        <x:v>TBD</x:v>
      </x:c>
      <x:c r="H16" s="40" t="str">
        <x:v>TBD</x:v>
      </x:c>
      <x:c r="I16" s="40" t="str">
        <x:v>TBD</x:v>
      </x:c>
      <x:c r="J16" s="40" t="str">
        <x:v>AIA / inventory</x:v>
      </x:c>
      <x:c r="K16" s="40" t="str">
        <x:v>Unknown</x:v>
      </x:c>
      <x:c r="L16" s="40" t="str">
        <x:v>Criteria, weights, features and proxy controls are blocking evidence gaps.</x:v>
      </x:c>
    </x:row>
    <x:row r="17">
      <x:c r="A17" s="40" t="str">
        <x:v>AIBOM-AI005-C04</x:v>
      </x:c>
      <x:c r="B17" s="40" t="str">
        <x:v>Integration</x:v>
      </x:c>
      <x:c r="C17" s="40" t="str">
        <x:v>ATS</x:v>
      </x:c>
      <x:c r="D17" s="40" t="str">
        <x:v>Applicant records and workflow</x:v>
      </x:c>
      <x:c r="E17" s="40" t="str">
        <x:v>TBD</x:v>
      </x:c>
      <x:c r="F17" s="40" t="str">
        <x:v>Duckworks / ATS supplier TBD</x:v>
      </x:c>
      <x:c r="G17" s="40" t="str">
        <x:v>Enterprise</x:v>
      </x:c>
      <x:c r="H17" s="40" t="str">
        <x:v>TBD</x:v>
      </x:c>
      <x:c r="I17" s="40" t="str">
        <x:v>TBD</x:v>
      </x:c>
      <x:c r="J17" s="40" t="str">
        <x:v>Asset Inventory</x:v>
      </x:c>
      <x:c r="K17" s="40" t="str">
        <x:v>Partial</x:v>
      </x:c>
      <x:c r="L17" s="40" t="str">
        <x:v>System named; product/version/API and data fields not evidenced.</x:v>
      </x:c>
    </x:row>
    <x:row r="18">
      <x:c r="A18" s="40" t="str">
        <x:v>AIBOM-AI005-C05</x:v>
      </x:c>
      <x:c r="B18" s="40" t="str">
        <x:v>Integration</x:v>
      </x:c>
      <x:c r="C18" s="40" t="str">
        <x:v>HRIS</x:v>
      </x:c>
      <x:c r="D18" s="40" t="str">
        <x:v>HR / internal candidate context</x:v>
      </x:c>
      <x:c r="E18" s="40" t="str">
        <x:v>TBD</x:v>
      </x:c>
      <x:c r="F18" s="40" t="str">
        <x:v>Duckworks / HRIS supplier TBD</x:v>
      </x:c>
      <x:c r="G18" s="40" t="str">
        <x:v>Enterprise</x:v>
      </x:c>
      <x:c r="H18" s="40" t="str">
        <x:v>TBD</x:v>
      </x:c>
      <x:c r="I18" s="40" t="str">
        <x:v>TBD</x:v>
      </x:c>
      <x:c r="J18" s="40" t="str">
        <x:v>Asset Inventory</x:v>
      </x:c>
      <x:c r="K18" s="40" t="str">
        <x:v>Partial</x:v>
      </x:c>
      <x:c r="L18" s="40" t="str">
        <x:v>Integration must be justified; exact scope not approved.</x:v>
      </x:c>
    </x:row>
    <x:row r="19">
      <x:c r="A19" s="40" t="str">
        <x:v>AIBOM-AI005-C06</x:v>
      </x:c>
      <x:c r="B19" s="40" t="str">
        <x:v>Integration</x:v>
      </x:c>
      <x:c r="C19" s="40" t="str">
        <x:v>Identity platform</x:v>
      </x:c>
      <x:c r="D19" s="40" t="str">
        <x:v>Authentication and authorization</x:v>
      </x:c>
      <x:c r="E19" s="40" t="str">
        <x:v>TBD</x:v>
      </x:c>
      <x:c r="F19" s="40" t="str">
        <x:v>Duckworks</x:v>
      </x:c>
      <x:c r="G19" s="40" t="str">
        <x:v>Enterprise</x:v>
      </x:c>
      <x:c r="H19" s="40" t="str">
        <x:v>TBD</x:v>
      </x:c>
      <x:c r="I19" s="40" t="str">
        <x:v>TBD</x:v>
      </x:c>
      <x:c r="J19" s="40" t="str">
        <x:v>Asset Inventory</x:v>
      </x:c>
      <x:c r="K19" s="40" t="str">
        <x:v>Partial</x:v>
      </x:c>
      <x:c r="L19" s="40" t="str">
        <x:v>Product/version/claims not evidenced.</x:v>
      </x:c>
    </x:row>
    <x:row r="20">
      <x:c r="A20" s="40" t="str">
        <x:v>AIBOM-AI005-C07</x:v>
      </x:c>
      <x:c r="B20" s="40" t="str">
        <x:v>Infrastructure</x:v>
      </x:c>
      <x:c r="C20" s="40" t="str">
        <x:v>Hosting environment</x:v>
      </x:c>
      <x:c r="D20" s="40" t="str">
        <x:v>Runtime / model hosting</x:v>
      </x:c>
      <x:c r="E20" s="40" t="str">
        <x:v>TBD</x:v>
      </x:c>
      <x:c r="F20" s="40" t="str">
        <x:v>TBD</x:v>
      </x:c>
      <x:c r="G20" s="40" t="str">
        <x:v>TBD</x:v>
      </x:c>
      <x:c r="H20" s="40" t="str">
        <x:v>TBD</x:v>
      </x:c>
      <x:c r="I20" s="40" t="str">
        <x:v>TBD</x:v>
      </x:c>
      <x:c r="J20" s="40" t="str">
        <x:v>Asset Inventory</x:v>
      </x:c>
      <x:c r="K20" s="40" t="str">
        <x:v>Unknown</x:v>
      </x:c>
      <x:c r="L20" s="40" t="str">
        <x:v>No vendor or hosting selected.</x:v>
      </x:c>
    </x:row>
    <x:row r="21">
      <x:c r="A21" s="40" t="str">
        <x:v>AIBOM-AI005-C08</x:v>
      </x:c>
      <x:c r="B21" s="40" t="str">
        <x:v>Monitoring</x:v>
      </x:c>
      <x:c r="C21" s="40" t="str">
        <x:v>Fairness / ranking / oversight monitoring</x:v>
      </x:c>
      <x:c r="D21" s="40" t="str">
        <x:v>Tracks group outcomes, errors, overrides and challenges</x:v>
      </x:c>
      <x:c r="E21" s="40" t="str">
        <x:v>TBD</x:v>
      </x:c>
      <x:c r="F21" s="40" t="str">
        <x:v>Duckworks</x:v>
      </x:c>
      <x:c r="G21" s="40" t="str">
        <x:v>TBD</x:v>
      </x:c>
      <x:c r="H21" s="40" t="str">
        <x:v>Internal</x:v>
      </x:c>
      <x:c r="I21" s="40" t="str">
        <x:v>TBD</x:v>
      </x:c>
      <x:c r="J21" s="40" t="str">
        <x:v>DuckTalent AIA</x:v>
      </x:c>
      <x:c r="K21" s="40" t="str">
        <x:v>TBD</x:v>
      </x:c>
      <x:c r="L21" s="40" t="str">
        <x:v>Measurement methodology and thresholds remain to be designed/validated.</x:v>
      </x:c>
    </x:row>
    <x:row r="23" ht="22" customHeight="1">
      <x:c r="A23" s="25" t="str">
        <x:v>Evidence Coverage</x:v>
      </x:c>
      <x:c r="B23" s="25"/>
      <x:c r="C23" s="25"/>
      <x:c r="D23" s="25"/>
    </x:row>
    <x:row r="24">
      <x:c r="A24" s="33" t="str">
        <x:v>Metric</x:v>
      </x:c>
      <x:c r="B24" s="33" t="str">
        <x:v>Value</x:v>
      </x:c>
    </x:row>
    <x:row r="25">
      <x:c r="A25" s="40" t="str">
        <x:v>Component rows</x:v>
      </x:c>
      <x:c r="B25" s="40" t="n">
        <x:v>8</x:v>
      </x:c>
    </x:row>
    <x:row r="26">
      <x:c r="A26" s="40" t="str">
        <x:v>Known</x:v>
      </x:c>
      <x:c r="B26" s="40" t="n">
        <x:f>COUNTIF(K14:K21,"Known")</x:f>
        <x:v>0</x:v>
      </x:c>
    </x:row>
    <x:row r="27">
      <x:c r="A27" s="40" t="str">
        <x:v>Partial</x:v>
      </x:c>
      <x:c r="B27" s="40" t="n">
        <x:f>COUNTIF(K14:K21,"Partial")</x:f>
        <x:v>4</x:v>
      </x:c>
    </x:row>
    <x:row r="28">
      <x:c r="A28" s="40" t="str">
        <x:v>TBD / Unknown</x:v>
      </x:c>
      <x:c r="B28" s="40" t="n">
        <x:f>COUNTIF(K14:K21,"TBD")+COUNTIF(K14:K21,"Unknown")</x:f>
        <x:v>4</x:v>
      </x:c>
    </x:row>
    <x:row r="29">
      <x:c r="A29" s="40" t="str">
        <x:v>Known %</x:v>
      </x:c>
      <x:c r="B29" s="44" t="n">
        <x:f>IF(B25=0,0,B26/B25)</x:f>
        <x:v>0</x:v>
      </x:c>
    </x:row>
    <x:row r="31" ht="22" customHeight="1">
      <x:c r="A31" s="25" t="str">
        <x:v>Minimum Open Evidence / Remediation Gaps</x:v>
      </x:c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A32" s="33" t="str">
        <x:v>Component ID</x:v>
      </x:c>
      <x:c r="B32" s="33" t="str">
        <x:v>Component</x:v>
      </x:c>
      <x:c r="C32" s="33" t="str">
        <x:v>Status</x:v>
      </x:c>
      <x:c r="D32" s="33" t="str">
        <x:v>Required Evidence / Gap</x:v>
      </x:c>
    </x:row>
    <x:row r="33">
      <x:c r="A33" s="40" t="str">
        <x:v>AIBOM-AI005-C02</x:v>
      </x:c>
      <x:c r="B33" s="40" t="str">
        <x:v>Underlying recruitment model</x:v>
      </x:c>
      <x:c r="C33" s="40" t="str">
        <x:v>Unknown</x:v>
      </x:c>
      <x:c r="D33" s="40" t="str">
        <x:v>Provider/model/version/license/model card not selected or evidenced.</x:v>
      </x:c>
    </x:row>
    <x:row r="34">
      <x:c r="A34" s="40" t="str">
        <x:v>AIBOM-AI005-C03</x:v>
      </x:c>
      <x:c r="B34" s="40" t="str">
        <x:v>Ranking / feature logic</x:v>
      </x:c>
      <x:c r="C34" s="40" t="str">
        <x:v>Unknown</x:v>
      </x:c>
      <x:c r="D34" s="40" t="str">
        <x:v>Criteria, weights, features and proxy controls are blocking evidence gaps.</x:v>
      </x:c>
    </x:row>
    <x:row r="35">
      <x:c r="A35" s="40" t="str">
        <x:v>AIBOM-AI005-C07</x:v>
      </x:c>
      <x:c r="B35" s="40" t="str">
        <x:v>Hosting environment</x:v>
      </x:c>
      <x:c r="C35" s="40" t="str">
        <x:v>Unknown</x:v>
      </x:c>
      <x:c r="D35" s="40" t="str">
        <x:v>No vendor or hosting selected.</x:v>
      </x:c>
    </x:row>
    <x:row r="36">
      <x:c r="A36" s="40" t="str">
        <x:v>AIBOM-AI005-C08</x:v>
      </x:c>
      <x:c r="B36" s="40" t="str">
        <x:v>Fairness / ranking / oversight monitoring</x:v>
      </x:c>
      <x:c r="C36" s="40" t="str">
        <x:v>TBD</x:v>
      </x:c>
      <x:c r="D36" s="40" t="str">
        <x:v>Measurement methodology and thresholds remain to be designed/validated.</x:v>
      </x:c>
    </x:row>
    <x:row r="38" ht="22" customHeight="1">
      <x:c r="A38" s="25" t="str">
        <x:v>AIBOM Update Triggers</x:v>
      </x:c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</x:row>
    <x:row r="39">
      <x:c r="A39" s="48" t="str">
        <x:v>Model / provider / version change</x:v>
      </x:c>
      <x:c r="B39" s="40" t="str">
        <x:v>Update model/service component, identifiers, license, supplier evidence and dependency relationships.</x:v>
      </x:c>
    </x:row>
    <x:row r="40">
      <x:c r="A40" s="48" t="str">
        <x:v>Training / validation / reference data change</x:v>
      </x:c>
      <x:c r="B40" s="40" t="str">
        <x:v>Update Data Assets, provenance, rights, quality and model/data relationships.</x:v>
      </x:c>
    </x:row>
    <x:row r="41">
      <x:c r="A41" s="48" t="str">
        <x:v>RAG corpus / embedding / vector store change</x:v>
      </x:c>
      <x:c r="B41" s="40" t="str">
        <x:v>Update data-store/model/integration components and permission/security evidence.</x:v>
      </x:c>
    </x:row>
    <x:row r="42">
      <x:c r="A42" s="48" t="str">
        <x:v>Integration / API / tool / agent change</x:v>
      </x:c>
      <x:c r="B42" s="40" t="str">
        <x:v>Add/update component and dependency rows; perform change screening.</x:v>
      </x:c>
    </x:row>
    <x:row r="43">
      <x:c r="A43" s="48" t="str">
        <x:v>Hosting / region / subprocessor change</x:v>
      </x:c>
      <x:c r="B43" s="40" t="str">
        <x:v>Update provider/hosting/location and privacy/security/vendor evidence.</x:v>
      </x:c>
    </x:row>
    <x:row r="44">
      <x:c r="A44" s="48" t="str">
        <x:v>Intended purpose / autonomy / human oversight change</x:v>
      </x:c>
      <x:c r="B44" s="40" t="str">
        <x:v>Reassess system boundary, governance gate, legal/risk/impact records and AIBOM.</x:v>
      </x:c>
    </x:row>
    <x:row r="45">
      <x:c r="A45" s="48" t="str">
        <x:v>Incident / vulnerability / integrity issue</x:v>
      </x:c>
      <x:c r="B45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23:D23"/>
    <x:mergeCell ref="A31:L31"/>
    <x:mergeCell ref="A38:L38"/>
  </x:mergeCells>
  <x:conditionalFormatting sqref="K14:K21">
    <x:cfRule type="expression" dxfId="42" priority="1">
      <x:formula>K14="Known"</x:formula>
    </x:cfRule>
    <x:cfRule type="expression" dxfId="43" priority="2">
      <x:formula>K14="Partial"</x:formula>
    </x:cfRule>
    <x:cfRule type="expression" dxfId="44" priority="3">
      <x:formula>K14="TBD"</x:formula>
    </x:cfRule>
    <x:cfRule type="expression" dxfId="45" priority="4">
      <x:formula>K14="Unknown"</x:formula>
    </x:cfRule>
    <x:cfRule type="expression" dxfId="46" priority="5">
      <x:formula>K14="N/A"</x:formula>
    </x:cfRule>
  </x:conditionalFormatting>
  <x:dataValidations count="1">
    <x:dataValidation type="list" sqref="K14:K21">
      <x:formula1>"Known,Partial,TBD,Unknown,N/A"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AI-006 PondGPT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Internal AIBOM baseline; unknown/unverified facts remain TBD/Unknown.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AI-006</x:v>
      </x:c>
      <x:c r="C5" s="48" t="str">
        <x:v>System</x:v>
      </x:c>
      <x:c r="D5" s="40" t="str">
        <x:v>PondGPT</x:v>
      </x:c>
      <x:c r="E5" s="48" t="str">
        <x:v>Lifecycle</x:v>
      </x:c>
      <x:c r="F5" s="40" t="str">
        <x:v>Pilot</x:v>
      </x:c>
      <x:c r="G5" s="48" t="str">
        <x:v>System Version</x:v>
      </x:c>
      <x:c r="H5" s="40" t="str">
        <x:v>Pilot-0.9</x:v>
      </x:c>
    </x:row>
    <x:row r="6">
      <x:c r="A6" s="48" t="str">
        <x:v>Business Owner</x:v>
      </x:c>
      <x:c r="B6" s="40" t="str">
        <x:v>Oliver Duckett — Head of IT &amp; Cloud</x:v>
      </x:c>
      <x:c r="C6" s="48" t="str">
        <x:v>Technical Owner</x:v>
      </x:c>
      <x:c r="D6" s="40" t="str">
        <x:v>Dr. Ada Duckfield — Head of Data &amp; AI</x:v>
      </x:c>
      <x:c r="E6" s="48" t="str">
        <x:v>Current Gate</x:v>
      </x:c>
      <x:c r="F6" s="40" t="str">
        <x:v>Restricted pilot only</x:v>
      </x:c>
      <x:c r="G6" s="48" t="str">
        <x:v>Residual Risk</x:v>
      </x:c>
      <x:c r="H6" s="40" t="str">
        <x:v>High (12)</x:v>
      </x:c>
    </x:row>
    <x:row r="7">
      <x:c r="A7" s="48" t="str">
        <x:v>AI Type</x:v>
      </x:c>
      <x:c r="B7" s="40" t="str">
        <x:v>Generative AI / RAG</x:v>
      </x:c>
      <x:c r="C7" s="48" t="str">
        <x:v>Model / Technology</x:v>
      </x:c>
      <x:c r="D7" s="40" t="str">
        <x:v>Enterprise LLM + RAG + code assistant</x:v>
      </x:c>
      <x:c r="E7" s="48" t="str">
        <x:v>Provider</x:v>
      </x:c>
      <x:c r="F7" s="40" t="str">
        <x:v>Fictional enterprise AI provider</x:v>
      </x:c>
      <x:c r="G7" s="48" t="str">
        <x:v>Hosting</x:v>
      </x:c>
      <x:c r="H7" s="40" t="str">
        <x:v>Private enterprise tenant</x:v>
      </x:c>
    </x:row>
    <x:row r="8">
      <x:c r="A8" s="48" t="str">
        <x:v>Input Data</x:v>
      </x:c>
      <x:c r="B8" s="40" t="str">
        <x:v>Internal documents; policies; source code; meeting transcripts; knowledge-base content; user prompts</x:v>
      </x:c>
      <x:c r="C8" s="48" t="str">
        <x:v>Output / Decision</x:v>
      </x:c>
      <x:c r="D8" s="40" t="str">
        <x:v>Drafts; summaries; answers; code suggestions; retrieved internal information</x:v>
      </x:c>
      <x:c r="E8" s="48" t="str">
        <x:v>Human Oversight</x:v>
      </x:c>
      <x:c r="F8" s="40" t="str">
        <x:v>Assistive use; employees remain accountable for downstream use. Pilot excludes HR case files and restricted engineering repositories.</x:v>
      </x:c>
      <x:c r="G8" s="48" t="str">
        <x:v>Third Party</x:v>
      </x:c>
      <x:c r="H8" s="40" t="str">
        <x:v>Yes</x:v>
      </x:c>
    </x:row>
    <x:row r="9">
      <x:c r="A9" s="48" t="str">
        <x:v>Classification</x:v>
      </x:c>
      <x:c r="B9" s="40" t="str">
        <x:v>Mixed</x:v>
      </x:c>
      <x:c r="C9" s="48" t="str">
        <x:v>Personal Data</x:v>
      </x:c>
      <x:c r="D9" s="40" t="str">
        <x:v>Yes</x:v>
      </x:c>
      <x:c r="E9" s="48" t="str">
        <x:v>Sensitive Data</x:v>
      </x:c>
      <x:c r="F9" s="40" t="str">
        <x:v>Potentially</x:v>
      </x:c>
      <x:c r="G9" s="48" t="str">
        <x:v>Confidential / IP</x:v>
      </x:c>
      <x:c r="H9" s="40" t="str">
        <x:v>Yes</x:v>
      </x:c>
    </x:row>
    <x:row r="10">
      <x:c r="A10" s="48" t="str">
        <x:v>Integrations</x:v>
      </x:c>
      <x:c r="B10" s="40" t="str">
        <x:v>Document management; code repositories; identity; knowledge base</x:v>
      </x:c>
      <x:c r="C10" s="48" t="str">
        <x:v>Operating Countries</x:v>
      </x:c>
      <x:c r="D10" s="40" t="str">
        <x:v>EU / UK</x:v>
      </x:c>
      <x:c r="E10" s="48" t="str">
        <x:v>Data Location</x:v>
      </x:c>
      <x:c r="F10" s="40" t="str">
        <x:v>EU</x:v>
      </x:c>
      <x:c r="G10" s="48" t="str">
        <x:v>AIBOM ID</x:v>
      </x:c>
      <x:c r="H10" s="40" t="str">
        <x:v>AIBOM-AI-006-v1.0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AIBOM-AI006-C01</x:v>
      </x:c>
      <x:c r="B14" s="40" t="str">
        <x:v>Application</x:v>
      </x:c>
      <x:c r="C14" s="40" t="str">
        <x:v>PondGPT</x:v>
      </x:c>
      <x:c r="D14" s="40" t="str">
        <x:v>Internal enterprise AI assistant</x:v>
      </x:c>
      <x:c r="E14" s="40" t="str">
        <x:v>Pilot-0.9</x:v>
      </x:c>
      <x:c r="F14" s="40" t="str">
        <x:v>Duckworks + fictional enterprise provider</x:v>
      </x:c>
      <x:c r="G14" s="40" t="str">
        <x:v>Private enterprise tenant</x:v>
      </x:c>
      <x:c r="H14" s="40" t="str">
        <x:v>TBD</x:v>
      </x:c>
      <x:c r="I14" s="40" t="str">
        <x:v>TBD</x:v>
      </x:c>
      <x:c r="J14" s="40" t="str">
        <x:v>Asset Inventory</x:v>
      </x:c>
      <x:c r="K14" s="40" t="str">
        <x:v>Partial</x:v>
      </x:c>
      <x:c r="L14" s="40" t="str">
        <x:v>Pilot version known; detailed package/build not evidenced.</x:v>
      </x:c>
    </x:row>
    <x:row r="15">
      <x:c r="A15" s="40" t="str">
        <x:v>AIBOM-AI006-C02</x:v>
      </x:c>
      <x:c r="B15" s="40" t="str">
        <x:v>AI/ML Model</x:v>
      </x:c>
      <x:c r="C15" s="40" t="str">
        <x:v>Enterprise LLM</x:v>
      </x:c>
      <x:c r="D15" s="40" t="str">
        <x:v>Drafting / Q&amp;A / coding assistance</x:v>
      </x:c>
      <x:c r="E15" s="40" t="str">
        <x:v>TBD</x:v>
      </x:c>
      <x:c r="F15" s="40" t="str">
        <x:v>Fictional enterprise AI provider</x:v>
      </x:c>
      <x:c r="G15" s="40" t="str">
        <x:v>Private enterprise tenant</x:v>
      </x:c>
      <x:c r="H15" s="40" t="str">
        <x:v>TBD</x:v>
      </x:c>
      <x:c r="I15" s="40" t="str">
        <x:v>TBD</x:v>
      </x:c>
      <x:c r="J15" s="40" t="str">
        <x:v>Asset Inventory</x:v>
      </x:c>
      <x:c r="K15" s="40" t="str">
        <x:v>TBD</x:v>
      </x:c>
      <x:c r="L15" s="40" t="str">
        <x:v>Exact model/version/license/model card not evidenced.</x:v>
      </x:c>
    </x:row>
    <x:row r="16">
      <x:c r="A16" s="40" t="str">
        <x:v>AIBOM-AI006-C03</x:v>
      </x:c>
      <x:c r="B16" s="40" t="str">
        <x:v>Software Component</x:v>
      </x:c>
      <x:c r="C16" s="40" t="str">
        <x:v>RAG orchestration</x:v>
      </x:c>
      <x:c r="D16" s="40" t="str">
        <x:v>Enterprise knowledge retrieval</x:v>
      </x:c>
      <x:c r="E16" s="40" t="str">
        <x:v>TBD</x:v>
      </x:c>
      <x:c r="F16" s="40" t="str">
        <x:v>Duckworks / provider</x:v>
      </x:c>
      <x:c r="G16" s="40" t="str">
        <x:v>Private enterprise tenant</x:v>
      </x:c>
      <x:c r="H16" s="40" t="str">
        <x:v>TBD</x:v>
      </x:c>
      <x:c r="I16" s="40" t="str">
        <x:v>TBD</x:v>
      </x:c>
      <x:c r="J16" s="40" t="str">
        <x:v>Asset Inventory</x:v>
      </x:c>
      <x:c r="K16" s="40" t="str">
        <x:v>Partial</x:v>
      </x:c>
      <x:c r="L16" s="40" t="str">
        <x:v>Architecture exists at conceptual level; implementation version not evidenced.</x:v>
      </x:c>
    </x:row>
    <x:row r="17">
      <x:c r="A17" s="40" t="str">
        <x:v>AIBOM-AI006-C04</x:v>
      </x:c>
      <x:c r="B17" s="40" t="str">
        <x:v>AI/ML Model</x:v>
      </x:c>
      <x:c r="C17" s="40" t="str">
        <x:v>Embedding model</x:v>
      </x:c>
      <x:c r="D17" s="40" t="str">
        <x:v>Creates vectors for enterprise retrieval</x:v>
      </x:c>
      <x:c r="E17" s="40" t="str">
        <x:v>TBD</x:v>
      </x:c>
      <x:c r="F17" s="40" t="str">
        <x:v>TBD</x:v>
      </x:c>
      <x:c r="G17" s="40" t="str">
        <x:v>Private enterprise tenant</x:v>
      </x:c>
      <x:c r="H17" s="40" t="str">
        <x:v>TBD</x:v>
      </x:c>
      <x:c r="I17" s="40" t="str">
        <x:v>TBD</x:v>
      </x:c>
      <x:c r="J17" s="40" t="str">
        <x:v>Data-flow / DMP requirement</x:v>
      </x:c>
      <x:c r="K17" s="40" t="str">
        <x:v>TBD</x:v>
      </x:c>
      <x:c r="L17" s="40" t="str">
        <x:v>Exact embedding model/version unknown.</x:v>
      </x:c>
    </x:row>
    <x:row r="18">
      <x:c r="A18" s="40" t="str">
        <x:v>AIBOM-AI006-C05</x:v>
      </x:c>
      <x:c r="B18" s="40" t="str">
        <x:v>Data Store</x:v>
      </x:c>
      <x:c r="C18" s="40" t="str">
        <x:v>Vector store / retrieval index</x:v>
      </x:c>
      <x:c r="D18" s="40" t="str">
        <x:v>Stores enterprise embeddings/indexes</x:v>
      </x:c>
      <x:c r="E18" s="40" t="str">
        <x:v>TBD</x:v>
      </x:c>
      <x:c r="F18" s="40" t="str">
        <x:v>TBD</x:v>
      </x:c>
      <x:c r="G18" s="40" t="str">
        <x:v>EU</x:v>
      </x:c>
      <x:c r="H18" s="40" t="str">
        <x:v>TBD</x:v>
      </x:c>
      <x:c r="I18" s="40" t="str">
        <x:v>TBD</x:v>
      </x:c>
      <x:c r="J18" s="40" t="str">
        <x:v>Data-flow / DMP requirement</x:v>
      </x:c>
      <x:c r="K18" s="40" t="str">
        <x:v>TBD</x:v>
      </x:c>
      <x:c r="L18" s="40" t="str">
        <x:v>Technology, version and retention require architecture evidence.</x:v>
      </x:c>
    </x:row>
    <x:row r="19">
      <x:c r="A19" s="40" t="str">
        <x:v>AIBOM-AI006-C06</x:v>
      </x:c>
      <x:c r="B19" s="40" t="str">
        <x:v>Software Component</x:v>
      </x:c>
      <x:c r="C19" s="40" t="str">
        <x:v>Code assistant capability</x:v>
      </x:c>
      <x:c r="D19" s="40" t="str">
        <x:v>Coding support component</x:v>
      </x:c>
      <x:c r="E19" s="40" t="str">
        <x:v>TBD</x:v>
      </x:c>
      <x:c r="F19" s="40" t="str">
        <x:v>Fictional enterprise AI provider / Duckworks</x:v>
      </x:c>
      <x:c r="G19" s="40" t="str">
        <x:v>Private enterprise tenant</x:v>
      </x:c>
      <x:c r="H19" s="40" t="str">
        <x:v>TBD</x:v>
      </x:c>
      <x:c r="I19" s="40" t="str">
        <x:v>TBD</x:v>
      </x:c>
      <x:c r="J19" s="40" t="str">
        <x:v>Asset Inventory</x:v>
      </x:c>
      <x:c r="K19" s="40" t="str">
        <x:v>Partial</x:v>
      </x:c>
      <x:c r="L19" s="40" t="str">
        <x:v>Exact tool/model boundary not evidenced.</x:v>
      </x:c>
    </x:row>
    <x:row r="20">
      <x:c r="A20" s="40" t="str">
        <x:v>AIBOM-AI006-C07</x:v>
      </x:c>
      <x:c r="B20" s="40" t="str">
        <x:v>Integration</x:v>
      </x:c>
      <x:c r="C20" s="40" t="str">
        <x:v>Document management</x:v>
      </x:c>
      <x:c r="D20" s="40" t="str">
        <x:v>Enterprise document retrieval source</x:v>
      </x:c>
      <x:c r="E20" s="40" t="str">
        <x:v>TBD</x:v>
      </x:c>
      <x:c r="F20" s="40" t="str">
        <x:v>Duckworks</x:v>
      </x:c>
      <x:c r="G20" s="40" t="str">
        <x:v>Enterprise</x:v>
      </x:c>
      <x:c r="H20" s="40" t="str">
        <x:v>Internal</x:v>
      </x:c>
      <x:c r="I20" s="40" t="str">
        <x:v>TBD</x:v>
      </x:c>
      <x:c r="J20" s="40" t="str">
        <x:v>Asset Inventory</x:v>
      </x:c>
      <x:c r="K20" s="40" t="str">
        <x:v>Partial</x:v>
      </x:c>
      <x:c r="L20" s="40" t="str">
        <x:v>Exact product/version and allowed repositories require evidence.</x:v>
      </x:c>
    </x:row>
    <x:row r="21">
      <x:c r="A21" s="40" t="str">
        <x:v>AIBOM-AI006-C08</x:v>
      </x:c>
      <x:c r="B21" s="40" t="str">
        <x:v>Integration</x:v>
      </x:c>
      <x:c r="C21" s="40" t="str">
        <x:v>Code repositories</x:v>
      </x:c>
      <x:c r="D21" s="40" t="str">
        <x:v>Source-code retrieval/context</x:v>
      </x:c>
      <x:c r="E21" s="40" t="str">
        <x:v>TBD</x:v>
      </x:c>
      <x:c r="F21" s="40" t="str">
        <x:v>Duckworks</x:v>
      </x:c>
      <x:c r="G21" s="40" t="str">
        <x:v>Enterprise</x:v>
      </x:c>
      <x:c r="H21" s="40" t="str">
        <x:v>Internal</x:v>
      </x:c>
      <x:c r="I21" s="40" t="str">
        <x:v>TBD</x:v>
      </x:c>
      <x:c r="J21" s="40" t="str">
        <x:v>Asset Inventory</x:v>
      </x:c>
      <x:c r="K21" s="40" t="str">
        <x:v>Partial</x:v>
      </x:c>
      <x:c r="L21" s="40" t="str">
        <x:v>Exact repository products, scopes and permissions require evidence.</x:v>
      </x:c>
    </x:row>
    <x:row r="22">
      <x:c r="A22" s="40" t="str">
        <x:v>AIBOM-AI006-C09</x:v>
      </x:c>
      <x:c r="B22" s="40" t="str">
        <x:v>Integration</x:v>
      </x:c>
      <x:c r="C22" s="40" t="str">
        <x:v>Identity service</x:v>
      </x:c>
      <x:c r="D22" s="40" t="str">
        <x:v>SSO / authorization context</x:v>
      </x:c>
      <x:c r="E22" s="40" t="str">
        <x:v>TBD</x:v>
      </x:c>
      <x:c r="F22" s="40" t="str">
        <x:v>Duckworks</x:v>
      </x:c>
      <x:c r="G22" s="40" t="str">
        <x:v>Enterprise</x:v>
      </x:c>
      <x:c r="H22" s="40" t="str">
        <x:v>TBD</x:v>
      </x:c>
      <x:c r="I22" s="40" t="str">
        <x:v>TBD</x:v>
      </x:c>
      <x:c r="J22" s="40" t="str">
        <x:v>Asset Inventory</x:v>
      </x:c>
      <x:c r="K22" s="40" t="str">
        <x:v>Partial</x:v>
      </x:c>
      <x:c r="L22" s="40" t="str">
        <x:v>Source-system authorization inheritance is an open critical assumption.</x:v>
      </x:c>
    </x:row>
    <x:row r="23">
      <x:c r="A23" s="40" t="str">
        <x:v>AIBOM-AI006-C10</x:v>
      </x:c>
      <x:c r="B23" s="40" t="str">
        <x:v>Integration</x:v>
      </x:c>
      <x:c r="C23" s="40" t="str">
        <x:v>Knowledge base</x:v>
      </x:c>
      <x:c r="D23" s="40" t="str">
        <x:v>Internal knowledge retrieval source</x:v>
      </x:c>
      <x:c r="E23" s="40" t="str">
        <x:v>TBD</x:v>
      </x:c>
      <x:c r="F23" s="40" t="str">
        <x:v>Duckworks</x:v>
      </x:c>
      <x:c r="G23" s="40" t="str">
        <x:v>Enterprise</x:v>
      </x:c>
      <x:c r="H23" s="40" t="str">
        <x:v>Internal</x:v>
      </x:c>
      <x:c r="I23" s="40" t="str">
        <x:v>TBD</x:v>
      </x:c>
      <x:c r="J23" s="40" t="str">
        <x:v>Asset Inventory</x:v>
      </x:c>
      <x:c r="K23" s="40" t="str">
        <x:v>Partial</x:v>
      </x:c>
      <x:c r="L23" s="40" t="str">
        <x:v>Corpus/source manifest and freshness evidence required.</x:v>
      </x:c>
    </x:row>
    <x:row r="24">
      <x:c r="A24" s="40" t="str">
        <x:v>AIBOM-AI006-C11</x:v>
      </x:c>
      <x:c r="B24" s="40" t="str">
        <x:v>Security Service</x:v>
      </x:c>
      <x:c r="C24" s="40" t="str">
        <x:v>DLP / logging controls</x:v>
      </x:c>
      <x:c r="D24" s="40" t="str">
        <x:v>Sensitive-data and audit controls</x:v>
      </x:c>
      <x:c r="E24" s="40" t="str">
        <x:v>TBD</x:v>
      </x:c>
      <x:c r="F24" s="40" t="str">
        <x:v>Duckworks</x:v>
      </x:c>
      <x:c r="G24" s="40" t="str">
        <x:v>Enterprise</x:v>
      </x:c>
      <x:c r="H24" s="40" t="str">
        <x:v>Internal</x:v>
      </x:c>
      <x:c r="I24" s="40" t="str">
        <x:v>TBD</x:v>
      </x:c>
      <x:c r="J24" s="40" t="str">
        <x:v>Control baseline</x:v>
      </x:c>
      <x:c r="K24" s="40" t="str">
        <x:v>Partial</x:v>
      </x:c>
      <x:c r="L24" s="40" t="str">
        <x:v>Controls are described; exact product/config/version not evidenced.</x:v>
      </x:c>
    </x:row>
    <x:row r="25">
      <x:c r="A25" s="40" t="str">
        <x:v>AIBOM-AI006-C12</x:v>
      </x:c>
      <x:c r="B25" s="40" t="str">
        <x:v>Configuration</x:v>
      </x:c>
      <x:c r="C25" s="40" t="str">
        <x:v>System prompts / restricted connectors</x:v>
      </x:c>
      <x:c r="D25" s="40" t="str">
        <x:v>Assistant behavior and scope controls</x:v>
      </x:c>
      <x:c r="E25" s="40" t="str">
        <x:v>TBD</x:v>
      </x:c>
      <x:c r="F25" s="40" t="str">
        <x:v>Duckworks</x:v>
      </x:c>
      <x:c r="G25" s="40" t="str">
        <x:v>Application config</x:v>
      </x:c>
      <x:c r="H25" s="40" t="str">
        <x:v>Internal</x:v>
      </x:c>
      <x:c r="I25" s="40" t="str">
        <x:v>TBD</x:v>
      </x:c>
      <x:c r="J25" s="40" t="str">
        <x:v>Governance baseline</x:v>
      </x:c>
      <x:c r="K25" s="40" t="str">
        <x:v>TBD</x:v>
      </x:c>
      <x:c r="L25" s="40" t="str">
        <x:v>Configuration version/hash and approved connector list require evidence.</x:v>
      </x:c>
    </x:row>
    <x:row r="27" ht="22" customHeight="1">
      <x:c r="A27" s="25" t="str">
        <x:v>Evidence Coverage</x:v>
      </x:c>
      <x:c r="B27" s="25"/>
      <x:c r="C27" s="25"/>
      <x:c r="D27" s="25"/>
    </x:row>
    <x:row r="28">
      <x:c r="A28" s="33" t="str">
        <x:v>Metric</x:v>
      </x:c>
      <x:c r="B28" s="33" t="str">
        <x:v>Value</x:v>
      </x:c>
    </x:row>
    <x:row r="29">
      <x:c r="A29" s="40" t="str">
        <x:v>Component rows</x:v>
      </x:c>
      <x:c r="B29" s="40" t="n">
        <x:v>12</x:v>
      </x:c>
    </x:row>
    <x:row r="30">
      <x:c r="A30" s="40" t="str">
        <x:v>Known</x:v>
      </x:c>
      <x:c r="B30" s="40" t="n">
        <x:f>COUNTIF(K14:K25,"Known")</x:f>
        <x:v>0</x:v>
      </x:c>
    </x:row>
    <x:row r="31">
      <x:c r="A31" s="40" t="str">
        <x:v>Partial</x:v>
      </x:c>
      <x:c r="B31" s="40" t="n">
        <x:f>COUNTIF(K14:K25,"Partial")</x:f>
        <x:v>8</x:v>
      </x:c>
    </x:row>
    <x:row r="32">
      <x:c r="A32" s="40" t="str">
        <x:v>TBD / Unknown</x:v>
      </x:c>
      <x:c r="B32" s="40" t="n">
        <x:f>COUNTIF(K14:K25,"TBD")+COUNTIF(K14:K25,"Unknown")</x:f>
        <x:v>4</x:v>
      </x:c>
    </x:row>
    <x:row r="33">
      <x:c r="A33" s="40" t="str">
        <x:v>Known %</x:v>
      </x:c>
      <x:c r="B33" s="44" t="n">
        <x:f>IF(B29=0,0,B30/B29)</x:f>
        <x:v>0</x:v>
      </x:c>
    </x:row>
    <x:row r="35" ht="22" customHeight="1">
      <x:c r="A35" s="25" t="str">
        <x:v>Minimum Open Evidence / Remediation Gaps</x:v>
      </x:c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</x:row>
    <x:row r="36">
      <x:c r="A36" s="33" t="str">
        <x:v>Component ID</x:v>
      </x:c>
      <x:c r="B36" s="33" t="str">
        <x:v>Component</x:v>
      </x:c>
      <x:c r="C36" s="33" t="str">
        <x:v>Status</x:v>
      </x:c>
      <x:c r="D36" s="33" t="str">
        <x:v>Required Evidence / Gap</x:v>
      </x:c>
    </x:row>
    <x:row r="37">
      <x:c r="A37" s="40" t="str">
        <x:v>AIBOM-AI006-C02</x:v>
      </x:c>
      <x:c r="B37" s="40" t="str">
        <x:v>Enterprise LLM</x:v>
      </x:c>
      <x:c r="C37" s="40" t="str">
        <x:v>TBD</x:v>
      </x:c>
      <x:c r="D37" s="40" t="str">
        <x:v>Exact model/version/license/model card not evidenced.</x:v>
      </x:c>
    </x:row>
    <x:row r="38">
      <x:c r="A38" s="40" t="str">
        <x:v>AIBOM-AI006-C04</x:v>
      </x:c>
      <x:c r="B38" s="40" t="str">
        <x:v>Embedding model</x:v>
      </x:c>
      <x:c r="C38" s="40" t="str">
        <x:v>TBD</x:v>
      </x:c>
      <x:c r="D38" s="40" t="str">
        <x:v>Exact embedding model/version unknown.</x:v>
      </x:c>
    </x:row>
    <x:row r="39">
      <x:c r="A39" s="40" t="str">
        <x:v>AIBOM-AI006-C05</x:v>
      </x:c>
      <x:c r="B39" s="40" t="str">
        <x:v>Vector store / retrieval index</x:v>
      </x:c>
      <x:c r="C39" s="40" t="str">
        <x:v>TBD</x:v>
      </x:c>
      <x:c r="D39" s="40" t="str">
        <x:v>Technology, version and retention require architecture evidence.</x:v>
      </x:c>
    </x:row>
    <x:row r="40">
      <x:c r="A40" s="40" t="str">
        <x:v>AIBOM-AI006-C12</x:v>
      </x:c>
      <x:c r="B40" s="40" t="str">
        <x:v>System prompts / restricted connectors</x:v>
      </x:c>
      <x:c r="C40" s="40" t="str">
        <x:v>TBD</x:v>
      </x:c>
      <x:c r="D40" s="40" t="str">
        <x:v>Configuration version/hash and approved connector list require evidence.</x:v>
      </x:c>
    </x:row>
    <x:row r="42" ht="22" customHeight="1">
      <x:c r="A42" s="25" t="str">
        <x:v>AIBOM Update Triggers</x:v>
      </x:c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</x:row>
    <x:row r="43">
      <x:c r="A43" s="48" t="str">
        <x:v>Model / provider / version change</x:v>
      </x:c>
      <x:c r="B43" s="40" t="str">
        <x:v>Update model/service component, identifiers, license, supplier evidence and dependency relationships.</x:v>
      </x:c>
    </x:row>
    <x:row r="44">
      <x:c r="A44" s="48" t="str">
        <x:v>Training / validation / reference data change</x:v>
      </x:c>
      <x:c r="B44" s="40" t="str">
        <x:v>Update Data Assets, provenance, rights, quality and model/data relationships.</x:v>
      </x:c>
    </x:row>
    <x:row r="45">
      <x:c r="A45" s="48" t="str">
        <x:v>RAG corpus / embedding / vector store change</x:v>
      </x:c>
      <x:c r="B45" s="40" t="str">
        <x:v>Update data-store/model/integration components and permission/security evidence.</x:v>
      </x:c>
    </x:row>
    <x:row r="46">
      <x:c r="A46" s="48" t="str">
        <x:v>Integration / API / tool / agent change</x:v>
      </x:c>
      <x:c r="B46" s="40" t="str">
        <x:v>Add/update component and dependency rows; perform change screening.</x:v>
      </x:c>
    </x:row>
    <x:row r="47">
      <x:c r="A47" s="48" t="str">
        <x:v>Hosting / region / subprocessor change</x:v>
      </x:c>
      <x:c r="B47" s="40" t="str">
        <x:v>Update provider/hosting/location and privacy/security/vendor evidence.</x:v>
      </x:c>
    </x:row>
    <x:row r="48">
      <x:c r="A48" s="48" t="str">
        <x:v>Intended purpose / autonomy / human oversight change</x:v>
      </x:c>
      <x:c r="B48" s="40" t="str">
        <x:v>Reassess system boundary, governance gate, legal/risk/impact records and AIBOM.</x:v>
      </x:c>
    </x:row>
    <x:row r="49">
      <x:c r="A49" s="48" t="str">
        <x:v>Incident / vulnerability / integrity issue</x:v>
      </x:c>
      <x:c r="B49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27:D27"/>
    <x:mergeCell ref="A35:L35"/>
    <x:mergeCell ref="A42:L42"/>
  </x:mergeCells>
  <x:conditionalFormatting sqref="K14:K25">
    <x:cfRule type="expression" dxfId="47" priority="1">
      <x:formula>K14="Known"</x:formula>
    </x:cfRule>
    <x:cfRule type="expression" dxfId="48" priority="2">
      <x:formula>K14="Partial"</x:formula>
    </x:cfRule>
    <x:cfRule type="expression" dxfId="49" priority="3">
      <x:formula>K14="TBD"</x:formula>
    </x:cfRule>
    <x:cfRule type="expression" dxfId="50" priority="4">
      <x:formula>K14="Unknown"</x:formula>
    </x:cfRule>
    <x:cfRule type="expression" dxfId="51" priority="5">
      <x:formula>K14="N/A"</x:formula>
    </x:cfRule>
  </x:conditionalFormatting>
  <x:dataValidations count="1">
    <x:dataValidation type="list" sqref="K14:K25">
      <x:formula1>"Known,Partial,TBD,Unknown,N/A"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4" hidden="0" customWidth="1"/>
    <x:col min="5" max="5" width="14" hidden="0" customWidth="1"/>
    <x:col min="6" max="6" width="30" hidden="0" customWidth="1"/>
    <x:col min="7" max="7" width="25" hidden="0" customWidth="1"/>
    <x:col min="8" max="8" width="18" hidden="0" customWidth="1"/>
    <x:col min="9" max="9" width="20" hidden="0" customWidth="1"/>
    <x:col min="10" max="10" width="20" hidden="0" customWidth="1"/>
    <x:col min="11" max="11" width="14" hidden="0" customWidth="1"/>
    <x:col min="12" max="12" width="52" hidden="0" customWidth="1"/>
  </x:cols>
  <x:sheetData>
    <x:row r="1" ht="28" customHeight="1">
      <x:c r="A1" s="5" t="str">
        <x:v>DUCKWORKS | AIBOM — AI-007 Unregistered GenAI Usage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Version 1.0 | Discovery placeholder — not a valid consolidated AIBOM; decompose individual tools/use cases.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22" customHeight="1">
      <x:c r="A4" s="25" t="str">
        <x:v>System Boundary</x:v>
      </x:c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48" t="str">
        <x:v>AI ID</x:v>
      </x:c>
      <x:c r="B5" s="40" t="str">
        <x:v>AI-007</x:v>
      </x:c>
      <x:c r="C5" s="48" t="str">
        <x:v>System</x:v>
      </x:c>
      <x:c r="D5" s="40" t="str">
        <x:v>Unregistered GenAI Usage</x:v>
      </x:c>
      <x:c r="E5" s="48" t="str">
        <x:v>Lifecycle</x:v>
      </x:c>
      <x:c r="F5" s="40" t="str">
        <x:v>Discovered</x:v>
      </x:c>
      <x:c r="G5" s="48" t="str">
        <x:v>System Version</x:v>
      </x:c>
      <x:c r="H5" s="40" t="str">
        <x:v>Unknown</x:v>
      </x:c>
    </x:row>
    <x:row r="6">
      <x:c r="A6" s="48" t="str">
        <x:v>Business Owner</x:v>
      </x:c>
      <x:c r="B6" s="40" t="str">
        <x:v>Multiple / currently unclear</x:v>
      </x:c>
      <x:c r="C6" s="48" t="str">
        <x:v>Technical Owner</x:v>
      </x:c>
      <x:c r="D6" s="40" t="str">
        <x:v>Unknown</x:v>
      </x:c>
      <x:c r="E6" s="48" t="str">
        <x:v>Current Gate</x:v>
      </x:c>
      <x:c r="F6" s="40" t="str">
        <x:v>Immediate containment</x:v>
      </x:c>
      <x:c r="G6" s="48" t="str">
        <x:v>Residual Risk</x:v>
      </x:c>
      <x:c r="H6" s="40" t="str">
        <x:v>Critical (20)</x:v>
      </x:c>
    </x:row>
    <x:row r="7">
      <x:c r="A7" s="48" t="str">
        <x:v>AI Type</x:v>
      </x:c>
      <x:c r="B7" s="40" t="str">
        <x:v>Third-party GenAI SaaS</x:v>
      </x:c>
      <x:c r="C7" s="48" t="str">
        <x:v>Model / Technology</x:v>
      </x:c>
      <x:c r="D7" s="40" t="str">
        <x:v>Multiple public AI services</x:v>
      </x:c>
      <x:c r="E7" s="48" t="str">
        <x:v>Provider</x:v>
      </x:c>
      <x:c r="F7" s="40" t="str">
        <x:v>Multiple unknown vendors</x:v>
      </x:c>
      <x:c r="G7" s="48" t="str">
        <x:v>Hosting</x:v>
      </x:c>
      <x:c r="H7" s="40" t="str">
        <x:v>External public SaaS</x:v>
      </x:c>
    </x:row>
    <x:row r="8">
      <x:c r="A8" s="48" t="str">
        <x:v>Input Data</x:v>
      </x:c>
      <x:c r="B8" s="40" t="str">
        <x:v>Potentially product specifications; customer correspondence; source code; HR documents; translations; internal documents</x:v>
      </x:c>
      <x:c r="C8" s="48" t="str">
        <x:v>Output / Decision</x:v>
      </x:c>
      <x:c r="D8" s="40" t="str">
        <x:v>Drafted text; summaries; code; translations; research</x:v>
      </x:c>
      <x:c r="E8" s="48" t="str">
        <x:v>Human Oversight</x:v>
      </x:c>
      <x:c r="F8" s="40" t="str">
        <x:v>Unknown; AI-007 is an organizational condition and must be decomposed into separate use cases.</x:v>
      </x:c>
      <x:c r="G8" s="48" t="str">
        <x:v>Third Party</x:v>
      </x:c>
      <x:c r="H8" s="40" t="str">
        <x:v>Yes</x:v>
      </x:c>
    </x:row>
    <x:row r="9">
      <x:c r="A9" s="48" t="str">
        <x:v>Classification</x:v>
      </x:c>
      <x:c r="B9" s="40" t="str">
        <x:v>Mixed</x:v>
      </x:c>
      <x:c r="C9" s="48" t="str">
        <x:v>Personal Data</x:v>
      </x:c>
      <x:c r="D9" s="40" t="str">
        <x:v>Potentially</x:v>
      </x:c>
      <x:c r="E9" s="48" t="str">
        <x:v>Sensitive Data</x:v>
      </x:c>
      <x:c r="F9" s="40" t="str">
        <x:v>Potentially</x:v>
      </x:c>
      <x:c r="G9" s="48" t="str">
        <x:v>Confidential / IP</x:v>
      </x:c>
      <x:c r="H9" s="40" t="str">
        <x:v>Potentially</x:v>
      </x:c>
    </x:row>
    <x:row r="10">
      <x:c r="A10" s="48" t="str">
        <x:v>Integrations</x:v>
      </x:c>
      <x:c r="B10" s="40" t="str">
        <x:v>Unknown browser extensions / public SaaS</x:v>
      </x:c>
      <x:c r="C10" s="48" t="str">
        <x:v>Operating Countries</x:v>
      </x:c>
      <x:c r="D10" s="40" t="str">
        <x:v>Unknown</x:v>
      </x:c>
      <x:c r="E10" s="48" t="str">
        <x:v>Data Location</x:v>
      </x:c>
      <x:c r="F10" s="40" t="str">
        <x:v>Unknown</x:v>
      </x:c>
      <x:c r="G10" s="48" t="str">
        <x:v>AIBOM ID</x:v>
      </x:c>
      <x:c r="H10" s="40" t="str">
        <x:v>AIBOM-AI-007-v1.0</x:v>
      </x:c>
    </x:row>
    <x:row r="12" ht="22" customHeight="1">
      <x:c r="A12" s="25" t="str">
        <x:v>AIBOM Components</x:v>
      </x:c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33" t="str">
        <x:v>Component ID</x:v>
      </x:c>
      <x:c r="B13" s="33" t="str">
        <x:v>Type</x:v>
      </x:c>
      <x:c r="C13" s="33" t="str">
        <x:v>Component Name</x:v>
      </x:c>
      <x:c r="D13" s="33" t="str">
        <x:v>Role / Purpose</x:v>
      </x:c>
      <x:c r="E13" s="33" t="str">
        <x:v>Version</x:v>
      </x:c>
      <x:c r="F13" s="33" t="str">
        <x:v>Supplier / Provider</x:v>
      </x:c>
      <x:c r="G13" s="33" t="str">
        <x:v>Hosting / Location</x:v>
      </x:c>
      <x:c r="H13" s="33" t="str">
        <x:v>License / Rights</x:v>
      </x:c>
      <x:c r="I13" s="33" t="str">
        <x:v>Identifier / Hash</x:v>
      </x:c>
      <x:c r="J13" s="33" t="str">
        <x:v>Evidence Source</x:v>
      </x:c>
      <x:c r="K13" s="33" t="str">
        <x:v>Evidence Status</x:v>
      </x:c>
      <x:c r="L13" s="33" t="str">
        <x:v>Notes</x:v>
      </x:c>
    </x:row>
    <x:row r="14">
      <x:c r="A14" s="40" t="str">
        <x:v>AIBOM-AI007-C01</x:v>
      </x:c>
      <x:c r="B14" s="40" t="str">
        <x:v>Discovery Placeholder</x:v>
      </x:c>
      <x:c r="C14" s="40" t="str">
        <x:v>Public GenAI services</x:v>
      </x:c>
      <x:c r="D14" s="40" t="str">
        <x:v>Multiple unregistered AI services</x:v>
      </x:c>
      <x:c r="E14" s="40" t="str">
        <x:v>Unknown</x:v>
      </x:c>
      <x:c r="F14" s="40" t="str">
        <x:v>Multiple unknown vendors</x:v>
      </x:c>
      <x:c r="G14" s="40" t="str">
        <x:v>External public SaaS</x:v>
      </x:c>
      <x:c r="H14" s="40" t="str">
        <x:v>Unknown</x:v>
      </x:c>
      <x:c r="I14" s="40" t="str">
        <x:v>Unknown</x:v>
      </x:c>
      <x:c r="J14" s="40" t="str">
        <x:v>Asset Inventory</x:v>
      </x:c>
      <x:c r="K14" s="40" t="str">
        <x:v>Unknown</x:v>
      </x:c>
      <x:c r="L14" s="40" t="str">
        <x:v>Not a valid consolidated AIBOM component; individual tools must be discovered and registered.</x:v>
      </x:c>
    </x:row>
    <x:row r="15">
      <x:c r="A15" s="40" t="str">
        <x:v>AIBOM-AI007-C02</x:v>
      </x:c>
      <x:c r="B15" s="40" t="str">
        <x:v>Discovery Placeholder</x:v>
      </x:c>
      <x:c r="C15" s="40" t="str">
        <x:v>Browser AI extensions</x:v>
      </x:c>
      <x:c r="D15" s="40" t="str">
        <x:v>Unapproved browser-integrated AI</x:v>
      </x:c>
      <x:c r="E15" s="40" t="str">
        <x:v>Unknown</x:v>
      </x:c>
      <x:c r="F15" s="40" t="str">
        <x:v>Multiple unknown vendors</x:v>
      </x:c>
      <x:c r="G15" s="40" t="str">
        <x:v>Browser / external SaaS</x:v>
      </x:c>
      <x:c r="H15" s="40" t="str">
        <x:v>Unknown</x:v>
      </x:c>
      <x:c r="I15" s="40" t="str">
        <x:v>Unknown</x:v>
      </x:c>
      <x:c r="J15" s="40" t="str">
        <x:v>Asset Inventory</x:v>
      </x:c>
      <x:c r="K15" s="40" t="str">
        <x:v>Unknown</x:v>
      </x:c>
      <x:c r="L15" s="40" t="str">
        <x:v>Names, versions, permissions and vendors are unknown.</x:v>
      </x:c>
    </x:row>
    <x:row r="16">
      <x:c r="A16" s="40" t="str">
        <x:v>AIBOM-AI007-C03</x:v>
      </x:c>
      <x:c r="B16" s="40" t="str">
        <x:v>Discovery Placeholder</x:v>
      </x:c>
      <x:c r="C16" s="40" t="str">
        <x:v>Unregistered coding assistants</x:v>
      </x:c>
      <x:c r="D16" s="40" t="str">
        <x:v>Potential code-generation use</x:v>
      </x:c>
      <x:c r="E16" s="40" t="str">
        <x:v>Unknown</x:v>
      </x:c>
      <x:c r="F16" s="40" t="str">
        <x:v>Unknown</x:v>
      </x:c>
      <x:c r="G16" s="40" t="str">
        <x:v>External / local TBD</x:v>
      </x:c>
      <x:c r="H16" s="40" t="str">
        <x:v>Unknown</x:v>
      </x:c>
      <x:c r="I16" s="40" t="str">
        <x:v>Unknown</x:v>
      </x:c>
      <x:c r="J16" s="40" t="str">
        <x:v>Business scenario</x:v>
      </x:c>
      <x:c r="K16" s="40" t="str">
        <x:v>Unknown</x:v>
      </x:c>
      <x:c r="L16" s="40" t="str">
        <x:v>Individual services and repository permissions require discovery.</x:v>
      </x:c>
    </x:row>
    <x:row r="17">
      <x:c r="A17" s="40" t="str">
        <x:v>AIBOM-AI007-C04</x:v>
      </x:c>
      <x:c r="B17" s="40" t="str">
        <x:v>Discovery Placeholder</x:v>
      </x:c>
      <x:c r="C17" s="40" t="str">
        <x:v>Unregistered translation / summarization tools</x:v>
      </x:c>
      <x:c r="D17" s="40" t="str">
        <x:v>Potential document-processing use</x:v>
      </x:c>
      <x:c r="E17" s="40" t="str">
        <x:v>Unknown</x:v>
      </x:c>
      <x:c r="F17" s="40" t="str">
        <x:v>Unknown</x:v>
      </x:c>
      <x:c r="G17" s="40" t="str">
        <x:v>External public SaaS</x:v>
      </x:c>
      <x:c r="H17" s="40" t="str">
        <x:v>Unknown</x:v>
      </x:c>
      <x:c r="I17" s="40" t="str">
        <x:v>Unknown</x:v>
      </x:c>
      <x:c r="J17" s="40" t="str">
        <x:v>Business scenario</x:v>
      </x:c>
      <x:c r="K17" s="40" t="str">
        <x:v>Unknown</x:v>
      </x:c>
      <x:c r="L17" s="40" t="str">
        <x:v>Individual services and data exposure require discovery.</x:v>
      </x:c>
    </x:row>
    <x:row r="19" ht="22" customHeight="1">
      <x:c r="A19" s="25" t="str">
        <x:v>Evidence Coverage</x:v>
      </x:c>
      <x:c r="B19" s="25"/>
      <x:c r="C19" s="25"/>
      <x:c r="D19" s="25"/>
    </x:row>
    <x:row r="20">
      <x:c r="A20" s="33" t="str">
        <x:v>Metric</x:v>
      </x:c>
      <x:c r="B20" s="33" t="str">
        <x:v>Value</x:v>
      </x:c>
    </x:row>
    <x:row r="21">
      <x:c r="A21" s="40" t="str">
        <x:v>Component rows</x:v>
      </x:c>
      <x:c r="B21" s="40" t="n">
        <x:v>4</x:v>
      </x:c>
    </x:row>
    <x:row r="22">
      <x:c r="A22" s="40" t="str">
        <x:v>Known</x:v>
      </x:c>
      <x:c r="B22" s="40" t="n">
        <x:f>COUNTIF(K14:K17,"Known")</x:f>
        <x:v>0</x:v>
      </x:c>
    </x:row>
    <x:row r="23">
      <x:c r="A23" s="40" t="str">
        <x:v>Partial</x:v>
      </x:c>
      <x:c r="B23" s="40" t="n">
        <x:f>COUNTIF(K14:K17,"Partial")</x:f>
        <x:v>0</x:v>
      </x:c>
    </x:row>
    <x:row r="24">
      <x:c r="A24" s="40" t="str">
        <x:v>TBD / Unknown</x:v>
      </x:c>
      <x:c r="B24" s="40" t="n">
        <x:f>COUNTIF(K14:K17,"TBD")+COUNTIF(K14:K17,"Unknown")</x:f>
        <x:v>4</x:v>
      </x:c>
    </x:row>
    <x:row r="25">
      <x:c r="A25" s="40" t="str">
        <x:v>Known %</x:v>
      </x:c>
      <x:c r="B25" s="44" t="n">
        <x:f>IF(B21=0,0,B22/B21)</x:f>
        <x:v>0</x:v>
      </x:c>
    </x:row>
    <x:row r="27" ht="22" customHeight="1">
      <x:c r="A27" s="25" t="str">
        <x:v>Minimum Open Evidence / Remediation Gaps</x:v>
      </x:c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</x:row>
    <x:row r="28">
      <x:c r="A28" s="33" t="str">
        <x:v>Component ID</x:v>
      </x:c>
      <x:c r="B28" s="33" t="str">
        <x:v>Component</x:v>
      </x:c>
      <x:c r="C28" s="33" t="str">
        <x:v>Status</x:v>
      </x:c>
      <x:c r="D28" s="33" t="str">
        <x:v>Required Evidence / Gap</x:v>
      </x:c>
    </x:row>
    <x:row r="29">
      <x:c r="A29" s="40" t="str">
        <x:v>AIBOM-AI007-C01</x:v>
      </x:c>
      <x:c r="B29" s="40" t="str">
        <x:v>Public GenAI services</x:v>
      </x:c>
      <x:c r="C29" s="40" t="str">
        <x:v>Unknown</x:v>
      </x:c>
      <x:c r="D29" s="40" t="str">
        <x:v>Not a valid consolidated AIBOM component; individual tools must be discovered and registered.</x:v>
      </x:c>
    </x:row>
    <x:row r="30">
      <x:c r="A30" s="40" t="str">
        <x:v>AIBOM-AI007-C02</x:v>
      </x:c>
      <x:c r="B30" s="40" t="str">
        <x:v>Browser AI extensions</x:v>
      </x:c>
      <x:c r="C30" s="40" t="str">
        <x:v>Unknown</x:v>
      </x:c>
      <x:c r="D30" s="40" t="str">
        <x:v>Names, versions, permissions and vendors are unknown.</x:v>
      </x:c>
    </x:row>
    <x:row r="31">
      <x:c r="A31" s="40" t="str">
        <x:v>AIBOM-AI007-C03</x:v>
      </x:c>
      <x:c r="B31" s="40" t="str">
        <x:v>Unregistered coding assistants</x:v>
      </x:c>
      <x:c r="C31" s="40" t="str">
        <x:v>Unknown</x:v>
      </x:c>
      <x:c r="D31" s="40" t="str">
        <x:v>Individual services and repository permissions require discovery.</x:v>
      </x:c>
    </x:row>
    <x:row r="32">
      <x:c r="A32" s="40" t="str">
        <x:v>AIBOM-AI007-C04</x:v>
      </x:c>
      <x:c r="B32" s="40" t="str">
        <x:v>Unregistered translation / summarization tools</x:v>
      </x:c>
      <x:c r="C32" s="40" t="str">
        <x:v>Unknown</x:v>
      </x:c>
      <x:c r="D32" s="40" t="str">
        <x:v>Individual services and data exposure require discovery.</x:v>
      </x:c>
    </x:row>
    <x:row r="34" ht="22" customHeight="1">
      <x:c r="A34" s="25" t="str">
        <x:v>AIBOM Update Triggers</x:v>
      </x:c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</x:row>
    <x:row r="35">
      <x:c r="A35" s="48" t="str">
        <x:v>Model / provider / version change</x:v>
      </x:c>
      <x:c r="B35" s="40" t="str">
        <x:v>Update model/service component, identifiers, license, supplier evidence and dependency relationships.</x:v>
      </x:c>
    </x:row>
    <x:row r="36">
      <x:c r="A36" s="48" t="str">
        <x:v>Training / validation / reference data change</x:v>
      </x:c>
      <x:c r="B36" s="40" t="str">
        <x:v>Update Data Assets, provenance, rights, quality and model/data relationships.</x:v>
      </x:c>
    </x:row>
    <x:row r="37">
      <x:c r="A37" s="48" t="str">
        <x:v>RAG corpus / embedding / vector store change</x:v>
      </x:c>
      <x:c r="B37" s="40" t="str">
        <x:v>Update data-store/model/integration components and permission/security evidence.</x:v>
      </x:c>
    </x:row>
    <x:row r="38">
      <x:c r="A38" s="48" t="str">
        <x:v>Integration / API / tool / agent change</x:v>
      </x:c>
      <x:c r="B38" s="40" t="str">
        <x:v>Add/update component and dependency rows; perform change screening.</x:v>
      </x:c>
    </x:row>
    <x:row r="39">
      <x:c r="A39" s="48" t="str">
        <x:v>Hosting / region / subprocessor change</x:v>
      </x:c>
      <x:c r="B39" s="40" t="str">
        <x:v>Update provider/hosting/location and privacy/security/vendor evidence.</x:v>
      </x:c>
    </x:row>
    <x:row r="40">
      <x:c r="A40" s="48" t="str">
        <x:v>Intended purpose / autonomy / human oversight change</x:v>
      </x:c>
      <x:c r="B40" s="40" t="str">
        <x:v>Reassess system boundary, governance gate, legal/risk/impact records and AIBOM.</x:v>
      </x:c>
    </x:row>
    <x:row r="41">
      <x:c r="A41" s="48" t="str">
        <x:v>Incident / vulnerability / integrity issue</x:v>
      </x:c>
      <x:c r="B41" s="40" t="str">
        <x:v>Link affected component/evidence, update status and preserve remediation trail.</x:v>
      </x:c>
    </x:row>
  </x:sheetData>
  <x:mergeCells>
    <x:mergeCell ref="A1:L1"/>
    <x:mergeCell ref="A2:L2"/>
    <x:mergeCell ref="A4:L4"/>
    <x:mergeCell ref="A12:L12"/>
    <x:mergeCell ref="A19:D19"/>
    <x:mergeCell ref="A27:L27"/>
    <x:mergeCell ref="A34:L34"/>
  </x:mergeCells>
  <x:conditionalFormatting sqref="K14:K17">
    <x:cfRule type="expression" dxfId="52" priority="1">
      <x:formula>K14="Known"</x:formula>
    </x:cfRule>
    <x:cfRule type="expression" dxfId="53" priority="2">
      <x:formula>K14="Partial"</x:formula>
    </x:cfRule>
    <x:cfRule type="expression" dxfId="54" priority="3">
      <x:formula>K14="TBD"</x:formula>
    </x:cfRule>
    <x:cfRule type="expression" dxfId="55" priority="4">
      <x:formula>K14="Unknown"</x:formula>
    </x:cfRule>
    <x:cfRule type="expression" dxfId="56" priority="5">
      <x:formula>K14="N/A"</x:formula>
    </x:cfRule>
  </x:conditionalFormatting>
  <x:dataValidations count="1">
    <x:dataValidation type="list" sqref="K14:K17">
      <x:formula1>"Known,Partial,TBD,Unknown,N/A"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0" hidden="0" customWidth="1"/>
    <x:col min="4" max="4" width="22" hidden="0" customWidth="1"/>
    <x:col min="5" max="5" width="40" hidden="0" customWidth="1"/>
    <x:col min="6" max="6" width="40" hidden="0" customWidth="1"/>
  </x:cols>
  <x:sheetData>
    <x:row r="1" ht="28" customHeight="1">
      <x:c r="A1" s="5" t="str">
        <x:v>DUCKWORKS | AIBOM SCHEMA MAPPING</x:v>
      </x:c>
      <x:c r="B1" s="5"/>
      <x:c r="C1" s="5"/>
      <x:c r="D1" s="5"/>
      <x:c r="E1" s="5"/>
      <x:c r="F1" s="5"/>
    </x:row>
    <x:row r="2">
      <x:c r="A2" s="18" t="str">
        <x:v>Illustrative mapping only. The Duckworks workbook is a governance register, not a serialized CycloneDX or SPDX document. Machine-readable conformance would require generation against the applicable schema/profile and validation with compatible tooling.</x:v>
      </x:c>
      <x:c r="B2" s="18"/>
      <x:c r="C2" s="18"/>
      <x:c r="D2" s="18"/>
      <x:c r="E2" s="18"/>
      <x:c r="F2" s="18"/>
    </x:row>
    <x:row r="3">
      <x:c r="A3" s="18"/>
      <x:c r="B3" s="18"/>
      <x:c r="C3" s="18"/>
      <x:c r="D3" s="18"/>
      <x:c r="E3" s="18"/>
      <x:c r="F3" s="18"/>
    </x:row>
    <x:row r="5">
      <x:c r="A5" s="33" t="str">
        <x:v>Duckworks AIBOM field</x:v>
      </x:c>
      <x:c r="B5" s="33" t="str">
        <x:v>CycloneDX AI/ML-BOM concept</x:v>
      </x:c>
      <x:c r="C5" s="33" t="str">
        <x:v>SPDX 3.0.1 concept</x:v>
      </x:c>
      <x:c r="D5" s="33" t="str">
        <x:v>NTIA SBOM analogue</x:v>
      </x:c>
      <x:c r="E5" s="33" t="str">
        <x:v>Duckworks requirement</x:v>
      </x:c>
      <x:c r="F5" s="33" t="str">
        <x:v>Caution</x:v>
      </x:c>
    </x:row>
    <x:row r="6">
      <x:c r="A6" s="40" t="str">
        <x:v>AIBOM / component ID</x:v>
      </x:c>
      <x:c r="B6" s="40" t="str">
        <x:v>bom-ref / serialNumber</x:v>
      </x:c>
      <x:c r="C6" s="40" t="str">
        <x:v>spdxId / external identifiers</x:v>
      </x:c>
      <x:c r="D6" s="40" t="str">
        <x:v>Unique Identifiers</x:v>
      </x:c>
      <x:c r="E6" s="40" t="str">
        <x:v>Unique stable ID</x:v>
      </x:c>
      <x:c r="F6" s="40" t="str">
        <x:v>Internal IDs are not automatically purl/SPDX IDs.</x:v>
      </x:c>
    </x:row>
    <x:row r="7">
      <x:c r="A7" s="40" t="str">
        <x:v>Component name</x:v>
      </x:c>
      <x:c r="B7" s="40" t="str">
        <x:v>component.name</x:v>
      </x:c>
      <x:c r="C7" s="40" t="str">
        <x:v>Element.name</x:v>
      </x:c>
      <x:c r="D7" s="40" t="str">
        <x:v>Component Name</x:v>
      </x:c>
      <x:c r="E7" s="40" t="str">
        <x:v>Human-readable component identity</x:v>
      </x:c>
      <x:c r="F7" s="40" t="str">
        <x:v>Exact package/model name required where available.</x:v>
      </x:c>
    </x:row>
    <x:row r="8">
      <x:c r="A8" s="40" t="str">
        <x:v>Supplier / Provider</x:v>
      </x:c>
      <x:c r="B8" s="40" t="str">
        <x:v>supplier / manufacturer</x:v>
      </x:c>
      <x:c r="C8" s="40" t="str">
        <x:v>suppliedBy / originatedBy</x:v>
      </x:c>
      <x:c r="D8" s="40" t="str">
        <x:v>Supplier Name</x:v>
      </x:c>
      <x:c r="E8" s="40" t="str">
        <x:v>Identify who supplies/hosts the component</x:v>
      </x:c>
      <x:c r="F8" s="40" t="str">
        <x:v>Separate provider, host and model publisher if different.</x:v>
      </x:c>
    </x:row>
    <x:row r="9">
      <x:c r="A9" s="40" t="str">
        <x:v>Version / Revision</x:v>
      </x:c>
      <x:c r="B9" s="40" t="str">
        <x:v>component.version / model identifier</x:v>
      </x:c>
      <x:c r="C9" s="40" t="str">
        <x:v>AI AIPackage + package/version metadata</x:v>
      </x:c>
      <x:c r="D9" s="40" t="str">
        <x:v>Component Version</x:v>
      </x:c>
      <x:c r="E9" s="40" t="str">
        <x:v>Record exact model/service/library revision</x:v>
      </x:c>
      <x:c r="F9" s="40" t="str">
        <x:v>TBD means not evidenced, not 'latest'.</x:v>
      </x:c>
    </x:row>
    <x:row r="10">
      <x:c r="A10" s="40" t="str">
        <x:v>Identifier / Hash</x:v>
      </x:c>
      <x:c r="B10" s="40" t="str">
        <x:v>purl, bom-ref, hashes, external refs</x:v>
      </x:c>
      <x:c r="C10" s="40" t="str">
        <x:v>externalIdentifier / verifiedUsing / integrity methods</x:v>
      </x:c>
      <x:c r="D10" s="40" t="str">
        <x:v>Other Unique Identifiers</x:v>
      </x:c>
      <x:c r="E10" s="40" t="str">
        <x:v>Capture digest/registry identifier where available</x:v>
      </x:c>
      <x:c r="F10" s="40" t="str">
        <x:v>Hosted SaaS may not expose artifact hashes.</x:v>
      </x:c>
    </x:row>
    <x:row r="11">
      <x:c r="A11" s="40" t="str">
        <x:v>Dependency relationship</x:v>
      </x:c>
      <x:c r="B11" s="40" t="str">
        <x:v>dependencies / compositions / BOM-Link</x:v>
      </x:c>
      <x:c r="C11" s="40" t="str">
        <x:v>Core Relationship</x:v>
      </x:c>
      <x:c r="D11" s="40" t="str">
        <x:v>Dependency Relationship</x:v>
      </x:c>
      <x:c r="E11" s="40" t="str">
        <x:v>Trace uses/contains/hosts/retrieves/integrates relationships</x:v>
      </x:c>
      <x:c r="F11" s="40" t="str">
        <x:v>State incompleteness where relationships remain unknown.</x:v>
      </x:c>
    </x:row>
    <x:row r="12">
      <x:c r="A12" s="40" t="str">
        <x:v>AI/ML model</x:v>
      </x:c>
      <x:c r="B12" s="40" t="str">
        <x:v>machine-learning-model component + modelCard</x:v>
      </x:c>
      <x:c r="C12" s="40" t="str">
        <x:v>AI Profile AIPackage</x:v>
      </x:c>
      <x:c r="D12" s="40" t="str">
        <x:v>Beyond base SBOM</x:v>
      </x:c>
      <x:c r="E12" s="40" t="str">
        <x:v>Model identity, task, version, intended use/limits</x:v>
      </x:c>
      <x:c r="F12" s="40" t="str">
        <x:v>No conformance claim unless serialized/validated.</x:v>
      </x:c>
    </x:row>
    <x:row r="13">
      <x:c r="A13" s="40" t="str">
        <x:v>Dataset / corpus</x:v>
      </x:c>
      <x:c r="B13" s="40" t="str">
        <x:v>modelCard datasets / data component</x:v>
      </x:c>
      <x:c r="C13" s="40" t="str">
        <x:v>Dataset Profile / DatasetPackage</x:v>
      </x:c>
      <x:c r="D13" s="40" t="str">
        <x:v>Beyond base SBOM</x:v>
      </x:c>
      <x:c r="E13" s="40" t="str">
        <x:v>Training/eval/RAG/input data provenance and rights</x:v>
      </x:c>
      <x:c r="F13" s="40" t="str">
        <x:v>Data may be private; disclose proportionately.</x:v>
      </x:c>
    </x:row>
    <x:row r="14">
      <x:c r="A14" s="40" t="str">
        <x:v>Inputs / outputs</x:v>
      </x:c>
      <x:c r="B14" s="40" t="str">
        <x:v>modelCard inputs / outputs</x:v>
      </x:c>
      <x:c r="C14" s="40" t="str">
        <x:v>AI profile metadata + related elements</x:v>
      </x:c>
      <x:c r="D14" s="40" t="str">
        <x:v>Beyond base SBOM</x:v>
      </x:c>
      <x:c r="E14" s="40" t="str">
        <x:v>Document modality/format and output/decision role</x:v>
      </x:c>
      <x:c r="F14" s="40" t="str">
        <x:v>Do not expose confidential schemas unnecessarily.</x:v>
      </x:c>
    </x:row>
    <x:row r="15">
      <x:c r="A15" s="40" t="str">
        <x:v>Model lineage / pedigree</x:v>
      </x:c>
      <x:c r="B15" s="40" t="str">
        <x:v>pedigree / ancestors / descendants</x:v>
      </x:c>
      <x:c r="C15" s="40" t="str">
        <x:v>Relationships + provenance/integrity</x:v>
      </x:c>
      <x:c r="D15" s="40" t="str">
        <x:v>Dependency relationship concept</x:v>
      </x:c>
      <x:c r="E15" s="40" t="str">
        <x:v>Base model/fine-tune/derived relationships where known</x:v>
      </x:c>
      <x:c r="F15" s="40" t="str">
        <x:v>Unknown lineage is an explicit evidence gap.</x:v>
      </x:c>
    </x:row>
    <x:row r="16">
      <x:c r="A16" s="40" t="str">
        <x:v>License / usage rights</x:v>
      </x:c>
      <x:c r="B16" s="40" t="str">
        <x:v>licenses</x:v>
      </x:c>
      <x:c r="C16" s="40" t="str">
        <x:v>declared/concluded license relationships</x:v>
      </x:c>
      <x:c r="D16" s="40" t="str">
        <x:v>Licensing use case</x:v>
      </x:c>
      <x:c r="E16" s="40" t="str">
        <x:v>Model/software/data rights</x:v>
      </x:c>
      <x:c r="F16" s="40" t="str">
        <x:v>A contract right to use is not the same as an open-source license.</x:v>
      </x:c>
    </x:row>
    <x:row r="17">
      <x:c r="A17" s="40" t="str">
        <x:v>Training / runtime stack</x:v>
      </x:c>
      <x:c r="B17" s="40" t="str">
        <x:v>formulation / components / services</x:v>
      </x:c>
      <x:c r="C17" s="40" t="str">
        <x:v>Build + Software profiles and relationships</x:v>
      </x:c>
      <x:c r="D17" s="40" t="str">
        <x:v>Component inventory</x:v>
      </x:c>
      <x:c r="E17" s="40" t="str">
        <x:v>Frameworks, containers, OS, hardware where material</x:v>
      </x:c>
      <x:c r="F17" s="40" t="str">
        <x:v>Only include evidence-supported details.</x:v>
      </x:c>
    </x:row>
    <x:row r="18">
      <x:c r="A18" s="40" t="str">
        <x:v>Autonomy / human role</x:v>
      </x:c>
      <x:c r="B18" s="40" t="str">
        <x:v>model-card/use-case metadata; properties as needed</x:v>
      </x:c>
      <x:c r="C18" s="40" t="str">
        <x:v>AI autonomyType</x:v>
      </x:c>
      <x:c r="D18" s="40" t="str">
        <x:v>N/A</x:v>
      </x:c>
      <x:c r="E18" s="40" t="str">
        <x:v>Record decision-support vs automation boundary</x:v>
      </x:c>
      <x:c r="F18" s="40" t="str">
        <x:v>Governance metadata may sit beside technical BOM.</x:v>
      </x:c>
    </x:row>
    <x:row r="19">
      <x:c r="A19" s="40" t="str">
        <x:v>Fairness / ethics / environment</x:v>
      </x:c>
      <x:c r="B19" s="40" t="str">
        <x:v>modelCard considerations</x:v>
      </x:c>
      <x:c r="C19" s="40" t="str">
        <x:v>AI profile fields incl. safety / energy</x:v>
      </x:c>
      <x:c r="D19" s="40" t="str">
        <x:v>N/A</x:v>
      </x:c>
      <x:c r="E19" s="40" t="str">
        <x:v>Optional enhanced transparency where evidence exists</x:v>
      </x:c>
      <x:c r="F19" s="40" t="str">
        <x:v>Do not invent metrics.</x:v>
      </x:c>
    </x:row>
    <x:row r="20">
      <x:c r="A20" s="40" t="str">
        <x:v>Security vulnerabilities</x:v>
      </x:c>
      <x:c r="B20" s="40" t="str">
        <x:v>vulnerabilities / VEX</x:v>
      </x:c>
      <x:c r="C20" s="40" t="str">
        <x:v>Security Profile</x:v>
      </x:c>
      <x:c r="D20" s="40" t="str">
        <x:v>SBOM vulnerability use case</x:v>
      </x:c>
      <x:c r="E20" s="40" t="str">
        <x:v>Link CVEs/advisories when applicable</x:v>
      </x:c>
      <x:c r="F20" s="40" t="str">
        <x:v>AIBOM is not a vulnerability scan.</x:v>
      </x:c>
    </x:row>
  </x:sheetData>
  <x:mergeCells>
    <x:mergeCell ref="A1:F1"/>
    <x:mergeCell ref="A2:F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70" hidden="0" customWidth="1"/>
    <x:col min="3" max="3" width="64" hidden="0" customWidth="1"/>
    <x:col min="4" max="4" width="72" hidden="0" customWidth="1"/>
    <x:col min="5" max="5" width="28" hidden="0" customWidth="1"/>
  </x:cols>
  <x:sheetData>
    <x:row r="1" ht="28" customHeight="1">
      <x:c r="A1" s="5" t="str">
        <x:v>DUCKWORKS | AIBOM SOURCE REGISTER</x:v>
      </x:c>
      <x:c r="B1" s="5"/>
      <x:c r="C1" s="5"/>
      <x:c r="D1" s="5"/>
      <x:c r="E1" s="5"/>
    </x:row>
    <x:row r="3">
      <x:c r="A3" s="33" t="str">
        <x:v>Source</x:v>
      </x:c>
      <x:c r="B3" s="33" t="str">
        <x:v>Publisher</x:v>
      </x:c>
      <x:c r="C3" s="33" t="str">
        <x:v>Use</x:v>
      </x:c>
      <x:c r="D3" s="33" t="str">
        <x:v>Official URL</x:v>
      </x:c>
      <x:c r="E3" s="33" t="str">
        <x:v>Classification</x:v>
      </x:c>
    </x:row>
    <x:row r="4">
      <x:c r="A4" s="40" t="str">
        <x:v>CycloneDX AI/ML-BOM</x:v>
      </x:c>
      <x:c r="B4" s="40" t="str">
        <x:v>OWASP CycloneDX / Ecma TC54</x:v>
      </x:c>
      <x:c r="C4" s="40" t="str">
        <x:v>AI/ML-BOM model, datasets, model cards, pedigree, training/runtime components, metrics and considerations</x:v>
      </x:c>
      <x:c r="D4" s="40" t="str">
        <x:v>https://cyclonedx.org/capabilities/mlbom/</x:v>
      </x:c>
      <x:c r="E4" s="40" t="str">
        <x:v>Voluntary technical standard ecosystem</x:v>
      </x:c>
    </x:row>
    <x:row r="5">
      <x:c r="A5" s="40" t="str">
        <x:v>CycloneDX Authoritative Guide to AI/ML-BOM</x:v>
      </x:c>
      <x:c r="B5" s="40" t="str">
        <x:v>OWASP CycloneDX</x:v>
      </x:c>
      <x:c r="C5" s="40" t="str">
        <x:v>Detailed implementation guidance for ML-BOM; guide states ML-BOM support in CycloneDX v1.5 and higher</x:v>
      </x:c>
      <x:c r="D5" s="40" t="str">
        <x:v>https://cyclonedx.org/guides/OWASP_CycloneDX-Authoritative-Guide-to-AI-ML-BOM-en.pdf</x:v>
      </x:c>
      <x:c r="E5" s="40" t="str">
        <x:v>Voluntary technical guidance</x:v>
      </x:c>
    </x:row>
    <x:row r="6">
      <x:c r="A6" s="40" t="str">
        <x:v>SPDX Specification v3.0.1</x:v>
      </x:c>
      <x:c r="B6" s="40" t="str">
        <x:v>SPDX / Linux Foundation</x:v>
      </x:c>
      <x:c r="C6" s="40" t="str">
        <x:v>Open BOM standard with AI and Dataset profiles, provenance, integrity, licensing and relationships</x:v>
      </x:c>
      <x:c r="D6" s="40" t="str">
        <x:v>https://spdx.dev/wp-content/uploads/sites/31/2024/12/SPDX-3.0.1-1.pdf</x:v>
      </x:c>
      <x:c r="E6" s="40" t="str">
        <x:v>Open technical standard</x:v>
      </x:c>
    </x:row>
    <x:row r="7">
      <x:c r="A7" s="40" t="str">
        <x:v>SPDX Profiles overview</x:v>
      </x:c>
      <x:c r="B7" s="40" t="str">
        <x:v>SPDX / Linux Foundation</x:v>
      </x:c>
      <x:c r="C7" s="40" t="str">
        <x:v>Explains that AI Profile output can represent an AI BOM and coexist with other profiles</x:v>
      </x:c>
      <x:c r="D7" s="40" t="str">
        <x:v>https://spdx.dev/understanding-spdx-profiles/</x:v>
      </x:c>
      <x:c r="E7" s="40" t="str">
        <x:v>Technical guidance</x:v>
      </x:c>
    </x:row>
    <x:row r="8">
      <x:c r="A8" s="40" t="str">
        <x:v>NTIA Minimum Elements for SBOM</x:v>
      </x:c>
      <x:c r="B8" s="40" t="str">
        <x:v>U.S. Department of Commerce / NTIA</x:v>
      </x:c>
      <x:c r="C8" s="40" t="str">
        <x:v>Baseline SBOM concepts: supplier, component, version, identifiers, dependency relationship, author and timestamp</x:v>
      </x:c>
      <x:c r="D8" s="40" t="str">
        <x:v>https://www.ntia.gov/sites/default/files/publications/sbom_minimum_elements_report_0.pdf</x:v>
      </x:c>
      <x:c r="E8" s="40" t="str">
        <x:v>Historical SBOM baseline / reference</x:v>
      </x:c>
    </x:row>
    <x:row r="9">
      <x:c r="A9" s="40" t="str">
        <x:v>NIST AI RMF Generative AI Profile</x:v>
      </x:c>
      <x:c r="B9" s="40" t="str">
        <x:v>NIST</x:v>
      </x:c>
      <x:c r="C9" s="40" t="str">
        <x:v>Third-party GAI transparency, value-chain records, provider inventory, contracts, SBOM requests and change/incident management</x:v>
      </x:c>
      <x:c r="D9" s="40" t="str">
        <x:v>https://nvlpubs.nist.gov/nistpubs/ai/NIST.AI.600-1.pdf</x:v>
      </x:c>
      <x:c r="E9" s="40" t="str">
        <x:v>Voluntary framework guidance</x:v>
      </x:c>
    </x:row>
    <x:row r="10">
      <x:c r="A10" s="40" t="str">
        <x:v>NIST AIBOM presentation</x:v>
      </x:c>
      <x:c r="B10" s="40" t="str">
        <x:v>NIST CSRC</x:v>
      </x:c>
      <x:c r="C10" s="40" t="str">
        <x:v>AIBOM transparency for AI ecosystem and software supply-chain risk</x:v>
      </x:c>
      <x:c r="D10" s="40" t="str">
        <x:v>https://csrc.nist.gov/presentations/2024/securing-ai-ecosystems-the-critical-role-of-aibom</x:v>
      </x:c>
      <x:c r="E10" s="40" t="str">
        <x:v>NIST presentation / guidance context</x:v>
      </x:c>
    </x:row>
    <x:row r="13" ht="22" customHeight="1">
      <x:c r="A13" s="25" t="str">
        <x:v>Duckworks Project Evidence Sources</x:v>
      </x:c>
      <x:c r="B13" s="25"/>
      <x:c r="C13" s="25"/>
      <x:c r="D13" s="25"/>
      <x:c r="E13" s="25"/>
    </x:row>
    <x:row r="14">
      <x:c r="A14" s="33" t="str">
        <x:v>Project artifact</x:v>
      </x:c>
      <x:c r="B14" s="33" t="str">
        <x:v>Use</x:v>
      </x:c>
    </x:row>
    <x:row r="15">
      <x:c r="A15" s="40" t="str">
        <x:v>Duckworks_AI_Asset_Inventory_v1.0.xlsx</x:v>
      </x:c>
      <x:c r="B15" s="40" t="str">
        <x:v>System/provider/hosting/data/integration/version/gate baseline.</x:v>
      </x:c>
    </x:row>
    <x:row r="16">
      <x:c r="A16" s="40" t="str">
        <x:v>Duckworks_Project_Assumptions_Register_v1.0.docx</x:v>
      </x:c>
      <x:c r="B16" s="40" t="str">
        <x:v>Mixed internal/third-party architecture; unknown facts remain assumptions; shadow AI decomposition.</x:v>
      </x:c>
    </x:row>
    <x:row r="17">
      <x:c r="A17" s="40" t="str">
        <x:v>Duckworks AI Governance Project — In-Scope and Out-of-Scope Items.md</x:v>
      </x:c>
      <x:c r="B17" s="40" t="str">
        <x:v>Third-party, data, model governance, evidence and lifecycle scope.</x:v>
      </x:c>
    </x:row>
    <x:row r="18">
      <x:c r="A18" s="40" t="str">
        <x:v>Duckworks_Project_Acceptance_Criteria_v1.0.docx</x:v>
      </x:c>
      <x:c r="B18" s="40" t="str">
        <x:v>Traceability, auditability, change triggers and critical-risk handling.</x:v>
      </x:c>
    </x:row>
    <x:row r="19">
      <x:c r="A19" s="40" t="str">
        <x:v>Duckworks_AI_Risk_Classification_Assessment_Methodology_v1.0.docx</x:v>
      </x:c>
      <x:c r="B19" s="40" t="str">
        <x:v>Inventory/model/provider/integration evidence and change/reassessment principles.</x:v>
      </x:c>
    </x:row>
  </x:sheetData>
  <x:mergeCells>
    <x:mergeCell ref="A1:E1"/>
    <x:mergeCell ref="A13:E13"/>
  </x:mergeCells>
  <x:pageMargins left="0.7" right="0.7" top="0.75" bottom="0.75" header="0.3" footer="0.3"/>
</x:worksheet>
</file>