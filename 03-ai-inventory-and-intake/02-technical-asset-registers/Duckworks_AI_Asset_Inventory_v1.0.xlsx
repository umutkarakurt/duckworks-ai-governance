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3cef792eab445a" /></Relationships>
</file>

<file path=xl/workbook.xml><?xml version="1.0" encoding="utf-8"?>
<x:workbook xmlns:x="http://schemas.openxmlformats.org/spreadsheetml/2006/main">
  <x:sheets>
    <x:sheet xmlns:r="http://schemas.openxmlformats.org/officeDocument/2006/relationships" name="AI Asset Inventory" sheetId="1" r:id="R093b251fe9d5435a"/>
    <x:sheet xmlns:r="http://schemas.openxmlformats.org/officeDocument/2006/relationships" name="Dashboard" sheetId="2" r:id="Rc25dade4c6bb402d"/>
    <x:sheet xmlns:r="http://schemas.openxmlformats.org/officeDocument/2006/relationships" name="Ownership &amp; Review" sheetId="3" r:id="R820fbc58d7214520"/>
    <x:sheet xmlns:r="http://schemas.openxmlformats.org/officeDocument/2006/relationships" name="Technology &amp; Data" sheetId="4" r:id="R024a40b8aa9348fc"/>
    <x:sheet xmlns:r="http://schemas.openxmlformats.org/officeDocument/2006/relationships" name="Governance &amp; Risk" sheetId="5" r:id="R2b5a9a73bace4c67"/>
    <x:sheet xmlns:r="http://schemas.openxmlformats.org/officeDocument/2006/relationships" name="Data Dictionary" sheetId="6" r:id="Rae30d2173f8e44be"/>
    <x:sheet xmlns:r="http://schemas.openxmlformats.org/officeDocument/2006/relationships" name="Source Basis" sheetId="7" r:id="Rbf0719864c6f429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b/>
      <x:sz val="16"/>
      <x:color rgb="FFFFFFFF"/>
      <x:name val="Carlito"/>
    </x:font>
    <x:font>
      <x:i/>
      <x:sz val="11"/>
      <x:color rgb="FF1F2937"/>
      <x:name val="Carlito"/>
    </x:font>
    <x:font>
      <x:b/>
      <x:sz val="11"/>
      <x:color rgb="FF1F2937"/>
      <x:name val="Carlito"/>
    </x:font>
    <x:font>
      <x:b/>
      <x:sz val="11"/>
      <x:color rgb="FFFFFFFF"/>
      <x:name val="Carlito"/>
    </x:font>
    <x:font>
      <x:b/>
      <x:sz val="14"/>
      <x:color rgb="FF173B5E"/>
      <x:name val="Carlito"/>
    </x:font>
    <x:font>
      <x:b/>
      <x:sz val="15"/>
      <x:color rgb="FFFFFFFF"/>
      <x:name val="Carlito"/>
    </x:font>
    <x:font>
      <x:i/>
      <x:sz val="11"/>
      <x:name val="Carlito"/>
    </x:font>
  </x:fonts>
  <x:fills count="8">
    <x:fill>
      <x:patternFill patternType="none"/>
    </x:fill>
    <x:fill>
      <x:patternFill patternType="gray125"/>
    </x:fill>
    <x:fill>
      <x:patternFill patternType="solid">
        <x:fgColor rgb="FF173B5E"/>
      </x:patternFill>
    </x:fill>
    <x:fill>
      <x:patternFill patternType="solid">
        <x:fgColor rgb="FFE8EFF5"/>
      </x:patternFill>
    </x:fill>
    <x:fill>
      <x:patternFill patternType="solid">
        <x:fgColor rgb="FFFFF2CC"/>
      </x:patternFill>
    </x:fill>
    <x:fill>
      <x:patternFill patternType="solid">
        <x:fgColor rgb="FF2F6F6D"/>
      </x:patternFill>
    </x:fill>
    <x:fill>
      <x:patternFill patternType="solid">
        <x:fgColor rgb="FFDDEBE9"/>
      </x:patternFill>
    </x:fill>
    <x:fill>
      <x:patternFill patternType="solid">
        <x:fgColor rgb="FFF3F5F7"/>
      </x:patternFill>
    </x:fill>
  </x:fills>
  <x:borders count="2">
    <x:border/>
    <x:border/>
  </x:borders>
  <x:cellStyleXfs count="1">
    <x:xf numFmtId="0" fontId="0" fillId="0" borderId="0"/>
  </x:cellStyleXfs>
  <x:cellXfs count="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4" fillId="2" borderId="0" xfId="0" applyNumberFormat="1" applyFont="1" applyFill="1" applyBorder="1"/>
    <x:xf numFmtId="0" fontId="4" fillId="2"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4" fillId="5" borderId="0" xfId="0" applyNumberFormat="1" applyFont="1" applyFill="1" applyBorder="1" applyAlignment="1">
      <x:alignment horizontal="center"/>
    </x:xf>
    <x:xf numFmtId="0" fontId="4" fillId="5" borderId="1" xfId="0" applyNumberFormat="1" applyFont="1" applyFill="1" applyBorder="1" applyAlignment="1">
      <x:alignment horizontal="center"/>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7" borderId="1" xfId="0" applyNumberFormat="1" applyFont="1" applyFill="1" applyBorder="1"/>
    <x:xf numFmtId="0" fontId="0" fillId="7" borderId="1" xfId="0" applyNumberFormat="1" applyFont="1" applyFill="1" applyBorder="1" applyAlignment="1">
      <x:alignment wrapText="1"/>
    </x:xf>
    <x:xf numFmtId="0" fontId="0" fillId="7" borderId="1" xfId="0" applyNumberFormat="1" applyFont="1" applyFill="1" applyBorder="1" applyAlignment="1">
      <x:alignment vertical="top" wrapText="1"/>
    </x:xf>
    <x:xf numFmtId="0" fontId="6" fillId="2" borderId="0" xfId="0" applyNumberFormat="1" applyFont="1" applyFill="1" applyBorder="1"/>
    <x:xf numFmtId="0" fontId="6" fillId="2" borderId="1"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1" xfId="0" applyNumberFormat="1" applyFont="1" applyFill="1" applyBorder="1"/>
    <x:xf numFmtId="0" fontId="7" fillId="7" borderId="1"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5" fillId="6" borderId="0" xfId="0" applyNumberFormat="1" applyFont="1" applyFill="1" applyBorder="1" applyAlignment="1">
      <x:alignment horizontal="center" vertical="top"/>
    </x:xf>
    <x:xf numFmtId="0" fontId="4" fillId="2" borderId="0" xfId="0" applyNumberFormat="1" applyFont="1" applyFill="1" applyBorder="1" applyAlignment="1">
      <x:alignment vertical="top"/>
    </x:xf>
    <x:xf numFmtId="0" fontId="4" fillId="5"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0" fontId="5" fillId="6" borderId="1" xfId="0" applyNumberFormat="1" applyFont="1" applyFill="1" applyBorder="1" applyAlignment="1">
      <x:alignment horizontal="center" vertical="top"/>
    </x:xf>
    <x:xf numFmtId="0" fontId="4" fillId="2" borderId="1" xfId="0" applyNumberFormat="1" applyFont="1" applyFill="1" applyBorder="1" applyAlignment="1">
      <x:alignment vertical="top"/>
    </x:xf>
    <x:xf numFmtId="0" fontId="4" fillId="5" borderId="1" xfId="0" applyNumberFormat="1" applyFont="1" applyFill="1" applyBorder="1" applyAlignment="1">
      <x:alignment horizontal="center" vertical="top"/>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6" fillId="2" borderId="0" xfId="0" applyNumberFormat="1" applyFont="1" applyFill="1" applyBorder="1" applyAlignment="1">
      <x:alignment vertical="top"/>
    </x:xf>
    <x:xf numFmtId="0" fontId="6" fillId="2" borderId="1" xfId="0" applyNumberFormat="1" applyFont="1" applyFill="1" applyBorder="1" applyAlignment="1">
      <x:alignment vertical="top"/>
    </x:xf>
    <x:xf numFmtId="0" fontId="7" fillId="7" borderId="0" xfId="0" applyNumberFormat="1" applyFont="1" applyFill="1" applyBorder="1" applyAlignment="1">
      <x:alignment vertical="top" wrapText="1"/>
    </x:xf>
  </x:cellXfs>
  <x:cellStyles count="1">
    <x:cellStyle name="Normal" xfId="0"/>
  </x:cellStyles>
  <x:dxfs count="14">
    <x:dxf>
      <x:font>
        <x:b/>
      </x:font>
      <x:fill>
        <x:patternFill patternType="solid">
          <x:bgColor rgb="FFF4CCCC"/>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ont>
        <x:b/>
      </x:font>
      <x:fill>
        <x:patternFill patternType="solid">
          <x:bgColor rgb="FFF4CCCC"/>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
      <x:font>
        <x:b/>
      </x:font>
      <x:fill>
        <x:patternFill patternType="solid">
          <x:bgColor rgb="FFF4CCCC"/>
        </x:patternFill>
      </x:fill>
    </x:dxf>
    <x:dxf>
      <x:fill>
        <x:patternFill patternType="solid">
          <x:bgColor rgb="FFFFF2CC"/>
        </x:patternFill>
      </x:fill>
    </x:dxf>
    <x:dxf>
      <x:font>
        <x:b/>
      </x:font>
      <x:fill>
        <x:patternFill patternType="solid">
          <x:bgColor rgb="FFF4CCCC"/>
        </x:patternFill>
      </x:fill>
    </x:dxf>
    <x:dxf>
      <x:fill>
        <x:patternFill patternType="solid">
          <x:bgColor rgb="FFFCE4D6"/>
        </x:patternFill>
      </x:fill>
    </x:dxf>
    <x:dxf>
      <x:fill>
        <x:patternFill patternType="solid">
          <x:bgColor rgb="FFFFF2CC"/>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41176895cb4531" /><Relationship Type="http://schemas.openxmlformats.org/officeDocument/2006/relationships/theme" Target="/xl/theme/theme1.xml" Id="R6572a17cdcf94f96" /><Relationship Type="http://schemas.openxmlformats.org/officeDocument/2006/relationships/sharedStrings" Target="/xl/sharedStrings.xml" Id="Rf5dba73a70a64160" /><Relationship Type="http://schemas.openxmlformats.org/officeDocument/2006/relationships/worksheet" Target="/xl/worksheets/sheet1.xml" Id="R093b251fe9d5435a" /><Relationship Type="http://schemas.openxmlformats.org/officeDocument/2006/relationships/worksheet" Target="/xl/worksheets/sheet2.xml" Id="Rc25dade4c6bb402d" /><Relationship Type="http://schemas.openxmlformats.org/officeDocument/2006/relationships/worksheet" Target="/xl/worksheets/sheet3.xml" Id="R820fbc58d7214520" /><Relationship Type="http://schemas.openxmlformats.org/officeDocument/2006/relationships/worksheet" Target="/xl/worksheets/sheet4.xml" Id="R024a40b8aa9348fc" /><Relationship Type="http://schemas.openxmlformats.org/officeDocument/2006/relationships/worksheet" Target="/xl/worksheets/sheet5.xml" Id="R2b5a9a73bace4c67" /><Relationship Type="http://schemas.openxmlformats.org/officeDocument/2006/relationships/worksheet" Target="/xl/worksheets/sheet6.xml" Id="Rae30d2173f8e44be" /><Relationship Type="http://schemas.openxmlformats.org/officeDocument/2006/relationships/worksheet" Target="/xl/worksheets/sheet7.xml" Id="Rbf0719864c6f4298" /></Relationships>
</file>

<file path=xl/drawings/_rels/drawing1.xml.rels>&#65279;<?xml version="1.0" encoding="utf-8"?><Relationships xmlns="http://schemas.openxmlformats.org/package/2006/relationships"><Relationship Type="http://schemas.openxmlformats.org/officeDocument/2006/relationships/chart" Target="/xl/drawings/charts/chart1.xml" Id="Rfc0e6d04ba8b47d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Residual risk distribution</a:t>
            </a:r>
          </a:p>
        </c:rich>
      </c:tx>
    </c:title>
    <c:plotArea>
      <c:barChart>
        <c:barDir val="col"/>
        <c:varyColors val="0"/>
        <c:ser>
          <c:idx val="0"/>
          <c:order val="0"/>
          <c:tx>
            <c:v>Count</c:v>
          </c:tx>
          <c:cat>
            <c:strRef>
              <c:f>'Dashboard'!$H$8:$H$11</c:f>
              <c:strCache>
                <c:ptCount val="0"/>
              </c:strCache>
            </c:strRef>
          </c:cat>
          <c:val>
            <c:numRef>
              <c:f>'Dashboard'!$I$8:$I$11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12</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c0e6d04ba8b47d3"/>
        </a:graphicData>
      </a:graphic>
    </xdr:graphicFrame>
    <xdr:clientData/>
  </xdr:twoCellAnchor>
</xdr:wsDr>
</file>

<file path=xl/tables/table1.xml><?xml version="1.0" encoding="utf-8"?>
<x:table xmlns:x="http://schemas.openxmlformats.org/spreadsheetml/2006/main" id="1" name="DuckworksAIAssetInventory" displayName="DuckworksAIAssetInventory" ref="A4:AY11" headerRowCount="1" totalsRowCount="0" totalsRowShown="0">
  <x:tableColumns count="51">
    <x:tableColumn id="1" name="AI ID"/>
    <x:tableColumn id="2" name="System Name"/>
    <x:tableColumn id="3" name="Short Description"/>
    <x:tableColumn id="4" name="Business Process"/>
    <x:tableColumn id="5" name="Environment"/>
    <x:tableColumn id="6" name="Business Owner"/>
    <x:tableColumn id="7" name="Technical Owner"/>
    <x:tableColumn id="8" name="Data Owner"/>
    <x:tableColumn id="9" name="Owner Function"/>
    <x:tableColumn id="10" name="Lifecycle Status"/>
    <x:tableColumn id="11" name="Planned / First Use Date"/>
    <x:tableColumn id="12" name="Last Review Date"/>
    <x:tableColumn id="13" name="Next Review Date"/>
    <x:tableColumn id="14" name="AI Type"/>
    <x:tableColumn id="15" name="Model / Technology"/>
    <x:tableColumn id="16" name="Provider"/>
    <x:tableColumn id="17" name="Hosting Model"/>
    <x:tableColumn id="18" name="Input Data"/>
    <x:tableColumn id="19" name="Output / Decision Supported"/>
    <x:tableColumn id="20" name="Data Classification"/>
    <x:tableColumn id="21" name="Personal Data"/>
    <x:tableColumn id="22" name="Sensitive Data"/>
    <x:tableColumn id="23" name="Confidential / IP Data"/>
    <x:tableColumn id="24" name="Intended Users"/>
    <x:tableColumn id="25" name="Affected Persons"/>
    <x:tableColumn id="26" name="Automation Level"/>
    <x:tableColumn id="27" name="Human Oversight"/>
    <x:tableColumn id="28" name="Third Party"/>
    <x:tableColumn id="29" name="External APIs / Integrations"/>
    <x:tableColumn id="30" name="Operating Countries"/>
    <x:tableColumn id="31" name="Data Location"/>
    <x:tableColumn id="32" name="Initial Governance Priority"/>
    <x:tableColumn id="33" name="Inherent Risk"/>
    <x:tableColumn id="34" name="Control Effectiveness"/>
    <x:tableColumn id="35" name="Residual Risk"/>
    <x:tableColumn id="36" name="AI Impact Assessment Status"/>
    <x:tableColumn id="37" name="Security Assessment Status"/>
    <x:tableColumn id="38" name="Approval Status"/>
    <x:tableColumn id="39" name="Current Governance Gate"/>
    <x:tableColumn id="40" name="Key Risks"/>
    <x:tableColumn id="41" name="Key Controls / Guardrails"/>
    <x:tableColumn id="42" name="KPIs / KRIs"/>
    <x:tableColumn id="43" name="Monitoring / Drift"/>
    <x:tableColumn id="44" name="Model / System Version"/>
    <x:tableColumn id="45" name="Significant Change Date"/>
    <x:tableColumn id="46" name="Incident History"/>
    <x:tableColumn id="47" name="Control Evidence Location"/>
    <x:tableColumn id="48" name="Last Assurance Review"/>
    <x:tableColumn id="49" name="Retirement Date"/>
    <x:tableColumn id="50" name="Data Disposal Status"/>
    <x:tableColumn id="51" name="Notes / Assumption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f7140befb2b442e" /></Relationships>
</file>

<file path=xl/worksheets/_rels/sheet2.xml.rels>&#65279;<?xml version="1.0" encoding="utf-8"?><Relationships xmlns="http://schemas.openxmlformats.org/package/2006/relationships"><Relationship Type="http://schemas.openxmlformats.org/officeDocument/2006/relationships/drawing" Target="/xl/drawings/drawing1.xml" Id="R0589e6b2303241d7" /></Relationships>
</file>

<file path=xl/worksheets/sheet1.xml><?xml version="1.0" encoding="utf-8"?>
<x:worksheet xmlns:x="http://schemas.openxmlformats.org/spreadsheetml/2006/main">
  <x:sheetFormatPr defaultRowHeight="15"/>
  <x:cols>
    <x:col min="1" max="1" width="11" hidden="0" customWidth="1"/>
    <x:col min="2" max="2" width="20" hidden="0" customWidth="1"/>
    <x:col min="3" max="3" width="38" hidden="0" customWidth="1"/>
    <x:col min="4" max="4" width="24" hidden="0" customWidth="1"/>
    <x:col min="5" max="5" width="18" hidden="0" customWidth="1"/>
    <x:col min="6" max="6" width="28" hidden="0" customWidth="1"/>
    <x:col min="7" max="7" width="27" hidden="0" customWidth="1"/>
    <x:col min="8" max="8" width="27" hidden="0" customWidth="1"/>
    <x:col min="9" max="9" width="20" hidden="0" customWidth="1"/>
    <x:col min="10" max="10" width="16" hidden="0" customWidth="1"/>
    <x:col min="11" max="11" width="15" hidden="0" customWidth="1"/>
    <x:col min="12" max="12" width="15" hidden="0" customWidth="1"/>
    <x:col min="13" max="13" width="15" hidden="0" customWidth="1"/>
    <x:col min="14" max="14" width="22" hidden="0" customWidth="1"/>
    <x:col min="15" max="15" width="34" hidden="0" customWidth="1"/>
    <x:col min="16" max="16" width="28" hidden="0" customWidth="1"/>
    <x:col min="17" max="17" width="24" hidden="0" customWidth="1"/>
    <x:col min="18" max="18" width="38" hidden="0" customWidth="1"/>
    <x:col min="19" max="19" width="38" hidden="0" customWidth="1"/>
    <x:col min="20" max="20" width="18" hidden="0" customWidth="1"/>
    <x:col min="21" max="21" width="13" hidden="0" customWidth="1"/>
    <x:col min="22" max="22" width="13" hidden="0" customWidth="1"/>
    <x:col min="23" max="23" width="16" hidden="0" customWidth="1"/>
    <x:col min="24" max="24" width="28" hidden="0" customWidth="1"/>
    <x:col min="25" max="25" width="30" hidden="0" customWidth="1"/>
    <x:col min="26" max="26" width="17" hidden="0" customWidth="1"/>
    <x:col min="27" max="27" width="24" hidden="0" customWidth="1"/>
    <x:col min="28" max="28" width="12" hidden="0" customWidth="1"/>
    <x:col min="29" max="29" width="32" hidden="0" customWidth="1"/>
    <x:col min="30" max="30" width="18" hidden="0" customWidth="1"/>
    <x:col min="31" max="31" width="14" hidden="0" customWidth="1"/>
    <x:col min="32" max="32" width="18" hidden="0" customWidth="1"/>
    <x:col min="33" max="33" width="16" hidden="0" customWidth="1"/>
    <x:col min="34" max="34" width="20" hidden="0" customWidth="1"/>
    <x:col min="35" max="35" width="16" hidden="0" customWidth="1"/>
    <x:col min="36" max="36" width="19" hidden="0" customWidth="1"/>
    <x:col min="37" max="37" width="19" hidden="0" customWidth="1"/>
    <x:col min="38" max="38" width="19" hidden="0" customWidth="1"/>
    <x:col min="39" max="39" width="30" hidden="0" customWidth="1"/>
    <x:col min="40" max="40" width="44" hidden="0" customWidth="1"/>
    <x:col min="41" max="41" width="44" hidden="0" customWidth="1"/>
    <x:col min="42" max="42" width="34" hidden="0" customWidth="1"/>
    <x:col min="43" max="43" width="34" hidden="0" customWidth="1"/>
    <x:col min="44" max="44" width="18" hidden="0" customWidth="1"/>
    <x:col min="45" max="45" width="17" hidden="0" customWidth="1"/>
    <x:col min="46" max="46" width="28" hidden="0" customWidth="1"/>
    <x:col min="47" max="47" width="32" hidden="0" customWidth="1"/>
    <x:col min="48" max="48" width="17" hidden="0" customWidth="1"/>
    <x:col min="49" max="49" width="15" hidden="0" customWidth="1"/>
    <x:col min="50" max="50" width="19" hidden="0" customWidth="1"/>
    <x:col min="51" max="51" width="54" hidden="0" customWidth="1"/>
  </x:cols>
  <x:sheetData>
    <x:row r="1" ht="28" customHeight="1">
      <x:c r="A1" s="5" t="str">
        <x:v>DUCKWORKS | PROJECT W.I.N.G. — QUACKTRACK AI ASSET INVENTORY</x:v>
      </x:c>
    </x:row>
    <x:row r="2" ht="34" customHeight="1">
      <x:c r="A2" s="12" t="str">
        <x:v>Version 1.0 | Portfolio baseline | Fictional organization and synthetic data | Central system-level inventory with ownership, data, technology, risk, controls, approvals, monitoring and evidence.</x:v>
      </x:c>
    </x:row>
    <x:row r="3" ht="38" customHeight="1">
      <x:c r="A3" s="18" t="str">
        <x:v>Evidence rule: Unknown or unverified facts remain blank, Unknown, or TBD. Internal risk ratings are not legal classifications. AI-007 is a shadow-AI condition and must be decomposed into separate use cases when discovered.</x:v>
      </x:c>
    </x:row>
    <x:row r="4" ht="38" customHeight="1">
      <x:c r="A4" s="26" t="str">
        <x:v>AI ID</x:v>
      </x:c>
      <x:c r="B4" s="26" t="str">
        <x:v>System Name</x:v>
      </x:c>
      <x:c r="C4" s="26" t="str">
        <x:v>Short Description</x:v>
      </x:c>
      <x:c r="D4" s="26" t="str">
        <x:v>Business Process</x:v>
      </x:c>
      <x:c r="E4" s="26" t="str">
        <x:v>Environment</x:v>
      </x:c>
      <x:c r="F4" s="26" t="str">
        <x:v>Business Owner</x:v>
      </x:c>
      <x:c r="G4" s="26" t="str">
        <x:v>Technical Owner</x:v>
      </x:c>
      <x:c r="H4" s="26" t="str">
        <x:v>Data Owner</x:v>
      </x:c>
      <x:c r="I4" s="26" t="str">
        <x:v>Owner Function</x:v>
      </x:c>
      <x:c r="J4" s="26" t="str">
        <x:v>Lifecycle Status</x:v>
      </x:c>
      <x:c r="K4" s="26" t="str">
        <x:v>Planned / First Use Date</x:v>
      </x:c>
      <x:c r="L4" s="26" t="str">
        <x:v>Last Review Date</x:v>
      </x:c>
      <x:c r="M4" s="26" t="str">
        <x:v>Next Review Date</x:v>
      </x:c>
      <x:c r="N4" s="26" t="str">
        <x:v>AI Type</x:v>
      </x:c>
      <x:c r="O4" s="26" t="str">
        <x:v>Model / Technology</x:v>
      </x:c>
      <x:c r="P4" s="26" t="str">
        <x:v>Provider</x:v>
      </x:c>
      <x:c r="Q4" s="26" t="str">
        <x:v>Hosting Model</x:v>
      </x:c>
      <x:c r="R4" s="26" t="str">
        <x:v>Input Data</x:v>
      </x:c>
      <x:c r="S4" s="26" t="str">
        <x:v>Output / Decision Supported</x:v>
      </x:c>
      <x:c r="T4" s="26" t="str">
        <x:v>Data Classification</x:v>
      </x:c>
      <x:c r="U4" s="26" t="str">
        <x:v>Personal Data</x:v>
      </x:c>
      <x:c r="V4" s="26" t="str">
        <x:v>Sensitive Data</x:v>
      </x:c>
      <x:c r="W4" s="26" t="str">
        <x:v>Confidential / IP Data</x:v>
      </x:c>
      <x:c r="X4" s="26" t="str">
        <x:v>Intended Users</x:v>
      </x:c>
      <x:c r="Y4" s="26" t="str">
        <x:v>Affected Persons</x:v>
      </x:c>
      <x:c r="Z4" s="26" t="str">
        <x:v>Automation Level</x:v>
      </x:c>
      <x:c r="AA4" s="26" t="str">
        <x:v>Human Oversight</x:v>
      </x:c>
      <x:c r="AB4" s="26" t="str">
        <x:v>Third Party</x:v>
      </x:c>
      <x:c r="AC4" s="26" t="str">
        <x:v>External APIs / Integrations</x:v>
      </x:c>
      <x:c r="AD4" s="26" t="str">
        <x:v>Operating Countries</x:v>
      </x:c>
      <x:c r="AE4" s="26" t="str">
        <x:v>Data Location</x:v>
      </x:c>
      <x:c r="AF4" s="26" t="str">
        <x:v>Initial Governance Priority</x:v>
      </x:c>
      <x:c r="AG4" s="26" t="str">
        <x:v>Inherent Risk</x:v>
      </x:c>
      <x:c r="AH4" s="26" t="str">
        <x:v>Control Effectiveness</x:v>
      </x:c>
      <x:c r="AI4" s="26" t="str">
        <x:v>Residual Risk</x:v>
      </x:c>
      <x:c r="AJ4" s="26" t="str">
        <x:v>AI Impact Assessment Status</x:v>
      </x:c>
      <x:c r="AK4" s="26" t="str">
        <x:v>Security Assessment Status</x:v>
      </x:c>
      <x:c r="AL4" s="26" t="str">
        <x:v>Approval Status</x:v>
      </x:c>
      <x:c r="AM4" s="26" t="str">
        <x:v>Current Governance Gate</x:v>
      </x:c>
      <x:c r="AN4" s="26" t="str">
        <x:v>Key Risks</x:v>
      </x:c>
      <x:c r="AO4" s="26" t="str">
        <x:v>Key Controls / Guardrails</x:v>
      </x:c>
      <x:c r="AP4" s="26" t="str">
        <x:v>KPIs / KRIs</x:v>
      </x:c>
      <x:c r="AQ4" s="26" t="str">
        <x:v>Monitoring / Drift</x:v>
      </x:c>
      <x:c r="AR4" s="26" t="str">
        <x:v>Model / System Version</x:v>
      </x:c>
      <x:c r="AS4" s="26" t="str">
        <x:v>Significant Change Date</x:v>
      </x:c>
      <x:c r="AT4" s="26" t="str">
        <x:v>Incident History</x:v>
      </x:c>
      <x:c r="AU4" s="26" t="str">
        <x:v>Control Evidence Location</x:v>
      </x:c>
      <x:c r="AV4" s="26" t="str">
        <x:v>Last Assurance Review</x:v>
      </x:c>
      <x:c r="AW4" s="26" t="str">
        <x:v>Retirement Date</x:v>
      </x:c>
      <x:c r="AX4" s="26" t="str">
        <x:v>Data Disposal Status</x:v>
      </x:c>
      <x:c r="AY4" s="26" t="str">
        <x:v>Notes / Assumptions</x:v>
      </x:c>
    </x:row>
    <x:row r="5">
      <x:c r="A5" s="32" t="str">
        <x:v>AI-001</x:v>
      </x:c>
      <x:c r="B5" s="32" t="str">
        <x:v>DuckDesign AI</x:v>
      </x:c>
      <x:c r="C5" s="32" t="str">
        <x:v>Generative engineering assistant for mechanical-arm design, optimization, simulation, and CAD support.</x:v>
      </x:c>
      <x:c r="D5" s="32" t="str">
        <x:v>Product design &amp; engineering</x:v>
      </x:c>
      <x:c r="E5" s="32" t="str">
        <x:v>Engineering</x:v>
      </x:c>
      <x:c r="F5" s="32" t="str">
        <x:v>Felix Duckson — VP Product &amp; Engineering</x:v>
      </x:c>
      <x:c r="G5" s="32" t="str">
        <x:v>Dr. Ada Duckfield — Head of Data &amp; AI</x:v>
      </x:c>
      <x:c r="H5" s="32" t="str">
        <x:v>Felix Duckson — VP Product &amp; Engineering</x:v>
      </x:c>
      <x:c r="I5" s="32" t="str">
        <x:v>Product &amp; Engineering</x:v>
      </x:c>
      <x:c r="J5" s="32" t="str">
        <x:v>Pilot</x:v>
      </x:c>
      <x:c r="K5" s="34" t="n">
        <x:v>46127</x:v>
      </x:c>
      <x:c r="L5" s="34" t="n">
        <x:v>46218</x:v>
      </x:c>
      <x:c r="M5" s="34" t="n">
        <x:v>46310</x:v>
      </x:c>
      <x:c r="N5" s="32" t="str">
        <x:v>Generative AI / Optimization</x:v>
      </x:c>
      <x:c r="O5" s="32" t="str">
        <x:v>Multimodal foundation model + engineering optimization services</x:v>
      </x:c>
      <x:c r="P5" s="32" t="str">
        <x:v>Fictional third-party AI provider + internal tooling</x:v>
      </x:c>
      <x:c r="Q5" s="32" t="str">
        <x:v>Private cloud / tenant-isolated SaaS</x:v>
      </x:c>
      <x:c r="R5" s="32" t="str">
        <x:v>CAD files; product specifications; material characteristics; historical designs; test results</x:v>
      </x:c>
      <x:c r="S5" s="32" t="str">
        <x:v>Design concepts; component recommendations; optimization suggestions; simulation support</x:v>
      </x:c>
      <x:c r="T5" s="32" t="str">
        <x:v>Highly Confidential</x:v>
      </x:c>
      <x:c r="U5" s="32" t="str">
        <x:v>No</x:v>
      </x:c>
      <x:c r="V5" s="32" t="str">
        <x:v>No</x:v>
      </x:c>
      <x:c r="W5" s="32" t="str">
        <x:v>Yes</x:v>
      </x:c>
      <x:c r="X5" s="32" t="str">
        <x:v>Mechanical engineers; product designers</x:v>
      </x:c>
      <x:c r="Y5" s="32" t="str">
        <x:v>Customers indirectly through product safety</x:v>
      </x:c>
      <x:c r="Z5" s="32" t="str">
        <x:v>Decision Support</x:v>
      </x:c>
      <x:c r="AA5" s="32" t="str">
        <x:v>Mandatory</x:v>
      </x:c>
      <x:c r="AB5" s="32" t="str">
        <x:v>Yes</x:v>
      </x:c>
      <x:c r="AC5" s="32" t="str">
        <x:v>CAD platform; simulation tooling</x:v>
      </x:c>
      <x:c r="AD5" s="32" t="str">
        <x:v>EU / UK</x:v>
      </x:c>
      <x:c r="AE5" s="32" t="str">
        <x:v>EU</x:v>
      </x:c>
      <x:c r="AF5" s="32" t="str">
        <x:v>High</x:v>
      </x:c>
      <x:c r="AG5" s="32" t="str">
        <x:v>High (16)</x:v>
      </x:c>
      <x:c r="AH5" s="32" t="str">
        <x:v>Partially Effective</x:v>
      </x:c>
      <x:c r="AI5" s="32" t="str">
        <x:v>High (10)</x:v>
      </x:c>
      <x:c r="AJ5" s="32" t="str">
        <x:v>In Progress</x:v>
      </x:c>
      <x:c r="AK5" s="32" t="str">
        <x:v>In Progress</x:v>
      </x:c>
      <x:c r="AL5" s="32" t="str">
        <x:v>Under Review</x:v>
      </x:c>
      <x:c r="AM5" s="32" t="str">
        <x:v>Restricted pilot only</x:v>
      </x:c>
      <x:c r="AN5" s="32" t="str">
        <x:v>Unsafe or incorrect design recommendations; IP leakage; hallucinated technical parameters; provenance issues; automation bias</x:v>
      </x:c>
      <x:c r="AO5" s="32" t="str">
        <x:v>Human engineering approval; restricted data access; output validation; change control; contractual confidentiality; logging</x:v>
      </x:c>
      <x:c r="AP5" s="32" t="str">
        <x:v>Unsafe recommendation rate; engineer override rate; validation failure rate</x:v>
      </x:c>
      <x:c r="AQ5" s="32" t="str">
        <x:v>Output quality monitoring; model/version change monitoring</x:v>
      </x:c>
      <x:c r="AR5" s="32" t="str">
        <x:v>Pilot-0.8</x:v>
      </x:c>
      <x:c r="AS5" s="34" t="n">
        <x:v>46204</x:v>
      </x:c>
      <x:c r="AT5" s="32" t="str">
        <x:v>None recorded</x:v>
      </x:c>
      <x:c r="AU5" s="32" t="str">
        <x:v>Synthetic repository / 05-control-framework</x:v>
      </x:c>
      <x:c r="AV5" s="34"/>
      <x:c r="AW5" s="34"/>
      <x:c r="AX5" s="32" t="str">
        <x:v>Not Applicable</x:v>
      </x:c>
      <x:c r="AY5" s="32" t="str">
        <x:v>Formal safety validation criteria to be defined before production. No Annex III trigger identified on stated use; product-safety / safety-component legal review required if deployment changes. Target residual risk: Moderate (8). Evidence confidence: Medium.</x:v>
      </x:c>
    </x:row>
    <x:row r="6">
      <x:c r="A6" s="32" t="str">
        <x:v>AI-002</x:v>
      </x:c>
      <x:c r="B6" s="32" t="str">
        <x:v>QuackBot</x:v>
      </x:c>
      <x:c r="C6" s="32" t="str">
        <x:v>Customer-service chatbot for product questions, troubleshooting, warranty guidance, and case routing.</x:v>
      </x:c>
      <x:c r="D6" s="32" t="str">
        <x:v>Customer support</x:v>
      </x:c>
      <x:c r="E6" s="32" t="str">
        <x:v>Customer-facing</x:v>
      </x:c>
      <x:c r="F6" s="32" t="str">
        <x:v>Clara Duckley — Director Customer Operations</x:v>
      </x:c>
      <x:c r="G6" s="32" t="str">
        <x:v>Dr. Ada Duckfield — Head of Data &amp; AI</x:v>
      </x:c>
      <x:c r="H6" s="32" t="str">
        <x:v>Clara Duckley — Director Customer Operations</x:v>
      </x:c>
      <x:c r="I6" s="32" t="str">
        <x:v>Customer Operations</x:v>
      </x:c>
      <x:c r="J6" s="32" t="str">
        <x:v>Development</x:v>
      </x:c>
      <x:c r="K6" s="34" t="n">
        <x:v>46266</x:v>
      </x:c>
      <x:c r="L6" s="34"/>
      <x:c r="M6" s="34" t="n">
        <x:v>46280</x:v>
      </x:c>
      <x:c r="N6" s="32" t="str">
        <x:v>Generative AI / RAG</x:v>
      </x:c>
      <x:c r="O6" s="32" t="str">
        <x:v>LLM + retrieval-augmented generation</x:v>
      </x:c>
      <x:c r="P6" s="32" t="str">
        <x:v>Fictional SaaS LLM provider</x:v>
      </x:c>
      <x:c r="Q6" s="32" t="str">
        <x:v>EU-hosted SaaS</x:v>
      </x:c>
      <x:c r="R6" s="32" t="str">
        <x:v>Customer queries; product manuals; warranty documents; support knowledge base</x:v>
      </x:c>
      <x:c r="S6" s="32" t="str">
        <x:v>Natural-language answers; troubleshooting guidance; escalation recommendation</x:v>
      </x:c>
      <x:c r="T6" s="32" t="str">
        <x:v>Mixed</x:v>
      </x:c>
      <x:c r="U6" s="32" t="str">
        <x:v>Yes</x:v>
      </x:c>
      <x:c r="V6" s="32" t="str">
        <x:v>Potentially</x:v>
      </x:c>
      <x:c r="W6" s="32" t="str">
        <x:v>Potentially</x:v>
      </x:c>
      <x:c r="X6" s="32" t="str">
        <x:v>Customers; customer-support staff</x:v>
      </x:c>
      <x:c r="Y6" s="32" t="str">
        <x:v>Customers</x:v>
      </x:c>
      <x:c r="Z6" s="32" t="str">
        <x:v>Semi-automated</x:v>
      </x:c>
      <x:c r="AA6" s="32" t="str">
        <x:v>Required for consequential decisions</x:v>
      </x:c>
      <x:c r="AB6" s="32" t="str">
        <x:v>Yes</x:v>
      </x:c>
      <x:c r="AC6" s="32" t="str">
        <x:v>CRM; support knowledge base; identity service</x:v>
      </x:c>
      <x:c r="AD6" s="32" t="str">
        <x:v>EU / UK</x:v>
      </x:c>
      <x:c r="AE6" s="32" t="str">
        <x:v>EU</x:v>
      </x:c>
      <x:c r="AF6" s="32" t="str">
        <x:v>High</x:v>
      </x:c>
      <x:c r="AG6" s="32" t="str">
        <x:v>High (16)</x:v>
      </x:c>
      <x:c r="AH6" s="32" t="str">
        <x:v>Partially Effective</x:v>
      </x:c>
      <x:c r="AI6" s="32" t="str">
        <x:v>High (12)</x:v>
      </x:c>
      <x:c r="AJ6" s="32" t="str">
        <x:v>In Progress</x:v>
      </x:c>
      <x:c r="AK6" s="32" t="str">
        <x:v>Planned</x:v>
      </x:c>
      <x:c r="AL6" s="32" t="str">
        <x:v>Not Submitted</x:v>
      </x:c>
      <x:c r="AM6" s="32" t="str">
        <x:v>Production blocked pending gates</x:v>
      </x:c>
      <x:c r="AN6" s="32" t="str">
        <x:v>Hallucination; incorrect warranty advice; personal-data leakage; prompt injection; RAG poisoning; unauthorized retrieval</x:v>
      </x:c>
      <x:c r="AO6" s="32" t="str">
        <x:v>RAG source allowlist; least-privilege retrieval; safety filters; escalation rules; response logging; red-team testing</x:v>
      </x:c>
      <x:c r="AP6" s="32" t="str">
        <x:v>Escalation rate; unsupported-answer rate; complaint rate; sensitive-data exposure events</x:v>
      </x:c>
      <x:c r="AQ6" s="32" t="str">
        <x:v>Retrieval quality; prompt-injection detections; content drift</x:v>
      </x:c>
      <x:c r="AR6" s="32" t="str">
        <x:v>Dev-0.4</x:v>
      </x:c>
      <x:c r="AS6" s="34"/>
      <x:c r="AT6" s="32" t="str">
        <x:v>None recorded</x:v>
      </x:c>
      <x:c r="AU6" s="32" t="str">
        <x:v>Synthetic repository / 05-control-framework</x:v>
      </x:c>
      <x:c r="AV6" s="34"/>
      <x:c r="AW6" s="34"/>
      <x:c r="AX6" s="32" t="str">
        <x:v>Not Applicable</x:v>
      </x:c>
      <x:c r="AY6" s="32" t="str">
        <x:v>Customer-facing deployment blocked pending security and AI impact assessments. Article 50 transparency screening likely relevant; no Annex III high-risk trigger identified on stated customer-support use. Target residual risk: Moderate (8). Evidence confidence: Low-Medium.</x:v>
      </x:c>
    </x:row>
    <x:row r="7">
      <x:c r="A7" s="32" t="str">
        <x:v>AI-003</x:v>
      </x:c>
      <x:c r="B7" s="32" t="str">
        <x:v>FeatherForecast</x:v>
      </x:c>
      <x:c r="C7" s="32" t="str">
        <x:v>Predictive analytics platform for demand, inventory, production-volume, and supply-chain forecasting.</x:v>
      </x:c>
      <x:c r="D7" s="32" t="str">
        <x:v>Supply-chain planning</x:v>
      </x:c>
      <x:c r="E7" s="32" t="str">
        <x:v>Supply Chain</x:v>
      </x:c>
      <x:c r="F7" s="32" t="str">
        <x:v>Tobias Duckman — Director Supply Chain</x:v>
      </x:c>
      <x:c r="G7" s="32" t="str">
        <x:v>Dr. Ada Duckfield — Head of Data &amp; AI</x:v>
      </x:c>
      <x:c r="H7" s="32" t="str">
        <x:v>Tobias Duckman — Director Supply Chain</x:v>
      </x:c>
      <x:c r="I7" s="32" t="str">
        <x:v>Supply Chain</x:v>
      </x:c>
      <x:c r="J7" s="32" t="str">
        <x:v>Production</x:v>
      </x:c>
      <x:c r="K7" s="34" t="n">
        <x:v>45962</x:v>
      </x:c>
      <x:c r="L7" s="34" t="n">
        <x:v>46203</x:v>
      </x:c>
      <x:c r="M7" s="34" t="n">
        <x:v>46295</x:v>
      </x:c>
      <x:c r="N7" s="32" t="str">
        <x:v>Predictive ML</x:v>
      </x:c>
      <x:c r="O7" s="32" t="str">
        <x:v>Gradient-boosting / time-series ensemble</x:v>
      </x:c>
      <x:c r="P7" s="32" t="str">
        <x:v>Internal model</x:v>
      </x:c>
      <x:c r="Q7" s="32" t="str">
        <x:v>Private cloud</x:v>
      </x:c>
      <x:c r="R7" s="32" t="str">
        <x:v>Sales history; inventory; supplier data; production volumes; shipment data; market indicators</x:v>
      </x:c>
      <x:c r="S7" s="32" t="str">
        <x:v>Demand forecasts; recommended inventory levels; production planning indicators</x:v>
      </x:c>
      <x:c r="T7" s="32" t="str">
        <x:v>Confidential</x:v>
      </x:c>
      <x:c r="U7" s="32" t="str">
        <x:v>No</x:v>
      </x:c>
      <x:c r="V7" s="32" t="str">
        <x:v>No</x:v>
      </x:c>
      <x:c r="W7" s="32" t="str">
        <x:v>Yes</x:v>
      </x:c>
      <x:c r="X7" s="32" t="str">
        <x:v>Supply-chain planners; manufacturing planners</x:v>
      </x:c>
      <x:c r="Y7" s="32" t="str">
        <x:v>Suppliers and customers indirectly</x:v>
      </x:c>
      <x:c r="Z7" s="32" t="str">
        <x:v>Decision Support</x:v>
      </x:c>
      <x:c r="AA7" s="32" t="str">
        <x:v>Mandatory</x:v>
      </x:c>
      <x:c r="AB7" s="32" t="str">
        <x:v>No</x:v>
      </x:c>
      <x:c r="AC7" s="32" t="str">
        <x:v>ERP; warehouse management; planning platform</x:v>
      </x:c>
      <x:c r="AD7" s="32" t="str">
        <x:v>EU / UK</x:v>
      </x:c>
      <x:c r="AE7" s="32" t="str">
        <x:v>EU</x:v>
      </x:c>
      <x:c r="AF7" s="32" t="str">
        <x:v>Medium</x:v>
      </x:c>
      <x:c r="AG7" s="32" t="str">
        <x:v>Moderate (9)</x:v>
      </x:c>
      <x:c r="AH7" s="32" t="str">
        <x:v>Effective</x:v>
      </x:c>
      <x:c r="AI7" s="32" t="str">
        <x:v>Moderate (6)</x:v>
      </x:c>
      <x:c r="AJ7" s="32" t="str">
        <x:v>Complete</x:v>
      </x:c>
      <x:c r="AK7" s="32" t="str">
        <x:v>Complete</x:v>
      </x:c>
      <x:c r="AL7" s="32" t="str">
        <x:v>Approved</x:v>
      </x:c>
      <x:c r="AM7" s="32" t="str">
        <x:v>Continue with monitoring</x:v>
      </x:c>
      <x:c r="AN7" s="32" t="str">
        <x:v>Model drift; poor historical data; forecast error; overreliance; supplier confidentiality; unexplained changes</x:v>
      </x:c>
      <x:c r="AO7" s="32" t="str">
        <x:v>Human planning approval; back-testing; drift thresholds; data-quality checks; version control</x:v>
      </x:c>
      <x:c r="AP7" s="32" t="str">
        <x:v>MAPE; stockout rate; forecast bias; override rate</x:v>
      </x:c>
      <x:c r="AQ7" s="32" t="str">
        <x:v>Monthly drift review; forecast performance monitoring</x:v>
      </x:c>
      <x:c r="AR7" s="32" t="str">
        <x:v>2.3.1</x:v>
      </x:c>
      <x:c r="AS7" s="34" t="n">
        <x:v>46152</x:v>
      </x:c>
      <x:c r="AT7" s="32" t="str">
        <x:v>None recorded</x:v>
      </x:c>
      <x:c r="AU7" s="32" t="str">
        <x:v>Synthetic repository / 05-control-framework</x:v>
      </x:c>
      <x:c r="AV7" s="34" t="n">
        <x:v>46203</x:v>
      </x:c>
      <x:c r="AW7" s="34"/>
      <x:c r="AX7" s="32" t="str">
        <x:v>Not Applicable</x:v>
      </x:c>
      <x:c r="AY7" s="32" t="str">
        <x:v>Existing production system selected as baseline for mature-system governance. No specific EU AI Act high-risk trigger identified on stated internal forecasting use. Target residual risk: Low (3). Evidence confidence: High.</x:v>
      </x:c>
    </x:row>
    <x:row r="8">
      <x:c r="A8" s="32" t="str">
        <x:v>AI-004</x:v>
      </x:c>
      <x:c r="B8" s="32" t="str">
        <x:v>WingInspect Vision</x:v>
      </x:c>
      <x:c r="C8" s="32" t="str">
        <x:v>Computer-vision system for detecting manufacturing defects in mechanical arms and components.</x:v>
      </x:c>
      <x:c r="D8" s="32" t="str">
        <x:v>Quality inspection</x:v>
      </x:c>
      <x:c r="E8" s="32" t="str">
        <x:v>Manufacturing</x:v>
      </x:c>
      <x:c r="F8" s="32" t="str">
        <x:v>Henrietta Duckwell — Director Manufacturing</x:v>
      </x:c>
      <x:c r="G8" s="32" t="str">
        <x:v>Dr. Ada Duckfield — Head of Data &amp; AI</x:v>
      </x:c>
      <x:c r="H8" s="32" t="str">
        <x:v>Henrietta Duckwell — Director Manufacturing</x:v>
      </x:c>
      <x:c r="I8" s="32" t="str">
        <x:v>Manufacturing</x:v>
      </x:c>
      <x:c r="J8" s="32" t="str">
        <x:v>Pilot</x:v>
      </x:c>
      <x:c r="K8" s="34" t="n">
        <x:v>46162</x:v>
      </x:c>
      <x:c r="L8" s="34" t="n">
        <x:v>46223</x:v>
      </x:c>
      <x:c r="M8" s="34" t="n">
        <x:v>46285</x:v>
      </x:c>
      <x:c r="N8" s="32" t="str">
        <x:v>Computer Vision</x:v>
      </x:c>
      <x:c r="O8" s="32" t="str">
        <x:v>Vision classifier / object detection</x:v>
      </x:c>
      <x:c r="P8" s="32" t="str">
        <x:v>Internal model</x:v>
      </x:c>
      <x:c r="Q8" s="32" t="str">
        <x:v>On-premise edge + private cloud</x:v>
      </x:c>
      <x:c r="R8" s="32" t="str">
        <x:v>Production-line images; defect images; product specifications; inspection results</x:v>
      </x:c>
      <x:c r="S8" s="32" t="str">
        <x:v>Defect flags; inspection priority; quality-control recommendations</x:v>
      </x:c>
      <x:c r="T8" s="32" t="str">
        <x:v>Confidential</x:v>
      </x:c>
      <x:c r="U8" s="32" t="str">
        <x:v>No</x:v>
      </x:c>
      <x:c r="V8" s="32" t="str">
        <x:v>No</x:v>
      </x:c>
      <x:c r="W8" s="32" t="str">
        <x:v>Yes</x:v>
      </x:c>
      <x:c r="X8" s="32" t="str">
        <x:v>Quality-control inspectors; manufacturing engineers</x:v>
      </x:c>
      <x:c r="Y8" s="32" t="str">
        <x:v>Customers indirectly through product quality</x:v>
      </x:c>
      <x:c r="Z8" s="32" t="str">
        <x:v>Semi-automated</x:v>
      </x:c>
      <x:c r="AA8" s="32" t="str">
        <x:v>Mandatory</x:v>
      </x:c>
      <x:c r="AB8" s="32" t="str">
        <x:v>No</x:v>
      </x:c>
      <x:c r="AC8" s="32" t="str">
        <x:v>Production cameras; quality management system</x:v>
      </x:c>
      <x:c r="AD8" s="32" t="str">
        <x:v>EU</x:v>
      </x:c>
      <x:c r="AE8" s="32" t="str">
        <x:v>EU</x:v>
      </x:c>
      <x:c r="AF8" s="32" t="str">
        <x:v>High</x:v>
      </x:c>
      <x:c r="AG8" s="32" t="str">
        <x:v>High (15)</x:v>
      </x:c>
      <x:c r="AH8" s="32" t="str">
        <x:v>Partially Effective</x:v>
      </x:c>
      <x:c r="AI8" s="32" t="str">
        <x:v>High (10)</x:v>
      </x:c>
      <x:c r="AJ8" s="32" t="str">
        <x:v>In Progress</x:v>
      </x:c>
      <x:c r="AK8" s="32" t="str">
        <x:v>In Progress</x:v>
      </x:c>
      <x:c r="AL8" s="32" t="str">
        <x:v>Conditionally Approved</x:v>
      </x:c>
      <x:c r="AM8" s="32" t="str">
        <x:v>Restricted pilot only</x:v>
      </x:c>
      <x:c r="AN8" s="32" t="str">
        <x:v>False negatives; false positives; training-data gaps; model degradation after product changes; poor image quality</x:v>
      </x:c>
      <x:c r="AO8" s="32" t="str">
        <x:v>Human final inspection; minimum performance thresholds; representative test sets; change-triggered revalidation</x:v>
      </x:c>
      <x:c r="AP8" s="32" t="str">
        <x:v>False-negative rate; false-positive rate; defect escape rate</x:v>
      </x:c>
      <x:c r="AQ8" s="32" t="str">
        <x:v>Performance by product line; camera/data-quality monitoring</x:v>
      </x:c>
      <x:c r="AR8" s="32" t="str">
        <x:v>Pilot-1.1</x:v>
      </x:c>
      <x:c r="AS8" s="34" t="n">
        <x:v>46215</x:v>
      </x:c>
      <x:c r="AT8" s="32" t="str">
        <x:v>None recorded</x:v>
      </x:c>
      <x:c r="AU8" s="32" t="str">
        <x:v>Synthetic repository / 05-control-framework</x:v>
      </x:c>
      <x:c r="AV8" s="34"/>
      <x:c r="AW8" s="34"/>
      <x:c r="AX8" s="32" t="str">
        <x:v>Not Applicable</x:v>
      </x:c>
      <x:c r="AY8" s="32" t="str">
        <x:v>Pilot approval limited to non-safety-critical product line. No Annex III trigger identified on stated use; product-safety / safety-component assessment required before expansion to safety-critical lines. Target residual risk: Moderate (5). Evidence confidence: Medium.</x:v>
      </x:c>
    </x:row>
    <x:row r="9">
      <x:c r="A9" s="32" t="str">
        <x:v>AI-005</x:v>
      </x:c>
      <x:c r="B9" s="32" t="str">
        <x:v>DuckTalent AI</x:v>
      </x:c>
      <x:c r="C9" s="32" t="str">
        <x:v>AI-supported applicant screening, CV summarization, candidate comparison, ranking, and interview recommendation.</x:v>
      </x:c>
      <x:c r="D9" s="32" t="str">
        <x:v>Recruitment &amp; talent acquisition</x:v>
      </x:c>
      <x:c r="E9" s="32" t="str">
        <x:v>HR</x:v>
      </x:c>
      <x:c r="F9" s="32" t="str">
        <x:v>Beatrice Van Duck — Chief People Officer</x:v>
      </x:c>
      <x:c r="G9" s="32" t="str">
        <x:v>Dr. Ada Duckfield — Head of Data &amp; AI</x:v>
      </x:c>
      <x:c r="H9" s="32" t="str">
        <x:v>Beatrice Van Duck — Chief People Officer</x:v>
      </x:c>
      <x:c r="I9" s="32" t="str">
        <x:v>People / HR</x:v>
      </x:c>
      <x:c r="J9" s="32" t="str">
        <x:v>Concept</x:v>
      </x:c>
      <x:c r="K9" s="34" t="n">
        <x:v>46402</x:v>
      </x:c>
      <x:c r="L9" s="34"/>
      <x:c r="M9" s="34" t="n">
        <x:v>46266</x:v>
      </x:c>
      <x:c r="N9" s="32" t="str">
        <x:v>NLP / Ranking / Predictive AI</x:v>
      </x:c>
      <x:c r="O9" s="32" t="str">
        <x:v>TBD — underlying model/provider/version not evidenced</x:v>
      </x:c>
      <x:c r="P9" s="32" t="str">
        <x:v>Vendor not selected</x:v>
      </x:c>
      <x:c r="Q9" s="32" t="str">
        <x:v>TBD</x:v>
      </x:c>
      <x:c r="R9" s="32" t="str">
        <x:v>CVs; application forms; qualifications; employment history; skills; interview information</x:v>
      </x:c>
      <x:c r="S9" s="32" t="str">
        <x:v>Candidate summaries; suitability indicators; ranked shortlist recommendations</x:v>
      </x:c>
      <x:c r="T9" s="32" t="str">
        <x:v>Highly Confidential</x:v>
      </x:c>
      <x:c r="U9" s="32" t="str">
        <x:v>Yes</x:v>
      </x:c>
      <x:c r="V9" s="32" t="str">
        <x:v>Potentially</x:v>
      </x:c>
      <x:c r="W9" s="32" t="str">
        <x:v>No</x:v>
      </x:c>
      <x:c r="X9" s="32" t="str">
        <x:v>Recruiters; hiring managers</x:v>
      </x:c>
      <x:c r="Y9" s="32" t="str">
        <x:v>Job applicants; employees applying internally</x:v>
      </x:c>
      <x:c r="Z9" s="32" t="str">
        <x:v>Decision Support</x:v>
      </x:c>
      <x:c r="AA9" s="32" t="str">
        <x:v>Required for consequential decisions</x:v>
      </x:c>
      <x:c r="AB9" s="32" t="str">
        <x:v>Unknown</x:v>
      </x:c>
      <x:c r="AC9" s="32" t="str">
        <x:v>ATS; HRIS; identity platform</x:v>
      </x:c>
      <x:c r="AD9" s="32" t="str">
        <x:v>EU / UK</x:v>
      </x:c>
      <x:c r="AE9" s="32" t="str">
        <x:v>TBD</x:v>
      </x:c>
      <x:c r="AF9" s="32" t="str">
        <x:v>Critical</x:v>
      </x:c>
      <x:c r="AG9" s="32" t="str">
        <x:v>Critical (20)</x:v>
      </x:c>
      <x:c r="AH9" s="32" t="str">
        <x:v>Not Implemented</x:v>
      </x:c>
      <x:c r="AI9" s="32" t="str">
        <x:v>Critical (20)</x:v>
      </x:c>
      <x:c r="AJ9" s="32" t="str">
        <x:v>Not Started</x:v>
      </x:c>
      <x:c r="AK9" s="32" t="str">
        <x:v>Not Started</x:v>
      </x:c>
      <x:c r="AL9" s="32" t="str">
        <x:v>Not Submitted</x:v>
      </x:c>
      <x:c r="AM9" s="32" t="str">
        <x:v>Do not deploy in current state</x:v>
      </x:c>
      <x:c r="AN9" s="32" t="str">
        <x:v>Discrimination; proxy bias; inaccurate ranking; explainability gaps; automation bias; privacy; accessibility; challenge rights</x:v>
      </x:c>
      <x:c r="AO9" s="32" t="str">
        <x:v>No automated rejection; human review; bias/fairness testing; documented criteria; candidate notice; appeal route; logging</x:v>
      </x:c>
      <x:c r="AP9" s="32" t="str">
        <x:v>Selection-rate differences; override rate; challenge rate; ranking error rate</x:v>
      </x:c>
      <x:c r="AQ9" s="32" t="str">
        <x:v>Fairness monitoring; model/vendor change review</x:v>
      </x:c>
      <x:c r="AR9" s="32" t="str">
        <x:v>Concept</x:v>
      </x:c>
      <x:c r="AS9" s="34"/>
      <x:c r="AT9" s="32" t="str">
        <x:v>None recorded</x:v>
      </x:c>
      <x:c r="AU9" s="32" t="str">
        <x:v>Synthetic repository / 05-control-framework</x:v>
      </x:c>
      <x:c r="AV9" s="34"/>
      <x:c r="AW9" s="34"/>
      <x:c r="AX9" s="32" t="str">
        <x:v>Not Applicable</x:v>
      </x:c>
      <x:c r="AY9" s="32" t="str">
        <x:v>Flagship high-impact portfolio use case. Preliminary classification: EU AI Act Annex III point 4(a) high-risk on stated recruitment/ranking purpose; Legal confirmation required before procurement/deployment. Target residual risk: High (10). Evidence confidence: Low. Model documentation records provider/model/version as TBD.</x:v>
      </x:c>
    </x:row>
    <x:row r="10">
      <x:c r="A10" s="32" t="str">
        <x:v>AI-006</x:v>
      </x:c>
      <x:c r="B10" s="32" t="str">
        <x:v>PondGPT</x:v>
      </x:c>
      <x:c r="C10" s="32" t="str">
        <x:v>Internal generative-AI assistant for drafting, research, knowledge retrieval, meeting summaries, coding, and operational support.</x:v>
      </x:c>
      <x:c r="D10" s="32" t="str">
        <x:v>Enterprise productivity</x:v>
      </x:c>
      <x:c r="E10" s="32" t="str">
        <x:v>Enterprise-wide</x:v>
      </x:c>
      <x:c r="F10" s="32" t="str">
        <x:v>Oliver Duckett — Head of IT &amp; Cloud</x:v>
      </x:c>
      <x:c r="G10" s="32" t="str">
        <x:v>Dr. Ada Duckfield — Head of Data &amp; AI</x:v>
      </x:c>
      <x:c r="H10" s="32" t="str">
        <x:v>Business data owners by source system</x:v>
      </x:c>
      <x:c r="I10" s="32" t="str">
        <x:v>IT &amp; Cloud</x:v>
      </x:c>
      <x:c r="J10" s="32" t="str">
        <x:v>Pilot</x:v>
      </x:c>
      <x:c r="K10" s="34" t="n">
        <x:v>46174</x:v>
      </x:c>
      <x:c r="L10" s="34" t="n">
        <x:v>46228</x:v>
      </x:c>
      <x:c r="M10" s="34" t="n">
        <x:v>46290</x:v>
      </x:c>
      <x:c r="N10" s="32" t="str">
        <x:v>Generative AI / RAG</x:v>
      </x:c>
      <x:c r="O10" s="32" t="str">
        <x:v>Enterprise LLM + RAG + code assistant</x:v>
      </x:c>
      <x:c r="P10" s="32" t="str">
        <x:v>Fictional enterprise AI provider</x:v>
      </x:c>
      <x:c r="Q10" s="32" t="str">
        <x:v>Private enterprise tenant</x:v>
      </x:c>
      <x:c r="R10" s="32" t="str">
        <x:v>Internal documents; policies; source code; meeting transcripts; knowledge-base content; user prompts</x:v>
      </x:c>
      <x:c r="S10" s="32" t="str">
        <x:v>Drafts; summaries; answers; code suggestions; retrieved internal information</x:v>
      </x:c>
      <x:c r="T10" s="32" t="str">
        <x:v>Mixed</x:v>
      </x:c>
      <x:c r="U10" s="32" t="str">
        <x:v>Yes</x:v>
      </x:c>
      <x:c r="V10" s="32" t="str">
        <x:v>Potentially</x:v>
      </x:c>
      <x:c r="W10" s="32" t="str">
        <x:v>Yes</x:v>
      </x:c>
      <x:c r="X10" s="32" t="str">
        <x:v>All employees</x:v>
      </x:c>
      <x:c r="Y10" s="32" t="str">
        <x:v>Employees; customers indirectly where outputs are reused</x:v>
      </x:c>
      <x:c r="Z10" s="32" t="str">
        <x:v>Assistive</x:v>
      </x:c>
      <x:c r="AA10" s="32" t="str">
        <x:v>Mandatory</x:v>
      </x:c>
      <x:c r="AB10" s="32" t="str">
        <x:v>Yes</x:v>
      </x:c>
      <x:c r="AC10" s="32" t="str">
        <x:v>Document management; code repositories; identity; knowledge base</x:v>
      </x:c>
      <x:c r="AD10" s="32" t="str">
        <x:v>EU / UK</x:v>
      </x:c>
      <x:c r="AE10" s="32" t="str">
        <x:v>EU</x:v>
      </x:c>
      <x:c r="AF10" s="32" t="str">
        <x:v>High</x:v>
      </x:c>
      <x:c r="AG10" s="32" t="str">
        <x:v>High (16)</x:v>
      </x:c>
      <x:c r="AH10" s="32" t="str">
        <x:v>Partially Effective</x:v>
      </x:c>
      <x:c r="AI10" s="32" t="str">
        <x:v>High (12)</x:v>
      </x:c>
      <x:c r="AJ10" s="32" t="str">
        <x:v>In Progress</x:v>
      </x:c>
      <x:c r="AK10" s="32" t="str">
        <x:v>In Progress</x:v>
      </x:c>
      <x:c r="AL10" s="32" t="str">
        <x:v>Conditionally Approved</x:v>
      </x:c>
      <x:c r="AM10" s="32" t="str">
        <x:v>Restricted pilot only</x:v>
      </x:c>
      <x:c r="AN10" s="32" t="str">
        <x:v>Sensitive-data leakage; excessive permissions; prompt injection; RAG poisoning; insecure code; hallucination; cross-user leakage</x:v>
      </x:c>
      <x:c r="AO10" s="32" t="str">
        <x:v>SSO; source-system authorization inheritance; DLP; logging; restricted connectors; secure coding review; user training</x:v>
      </x:c>
      <x:c r="AP10" s="32" t="str">
        <x:v>Blocked-prompt rate; DLP events; user-reported errors; privileged-source access events</x:v>
      </x:c>
      <x:c r="AQ10" s="32" t="str">
        <x:v>Retrieval permission tests; prompt-injection monitoring; usage review</x:v>
      </x:c>
      <x:c r="AR10" s="32" t="str">
        <x:v>Pilot-0.9</x:v>
      </x:c>
      <x:c r="AS10" s="34" t="n">
        <x:v>46221</x:v>
      </x:c>
      <x:c r="AT10" s="32" t="str">
        <x:v>One synthetic policy violation used for testing</x:v>
      </x:c>
      <x:c r="AU10" s="32" t="str">
        <x:v>Synthetic repository / 05-control-framework</x:v>
      </x:c>
      <x:c r="AV10" s="34"/>
      <x:c r="AW10" s="34"/>
      <x:c r="AX10" s="32" t="str">
        <x:v>Not Applicable</x:v>
      </x:c>
      <x:c r="AY10" s="32" t="str">
        <x:v>Pilot excludes HR case files and restricted engineering repositories. Article 50 transparency screening relevant; explicit AI identity likely addresses direct-interaction transparency, subject to legal confirmation. No Annex III trigger identified. Target residual risk: Moderate (8). Evidence confidence: Medium.</x:v>
      </x:c>
    </x:row>
    <x:row r="11">
      <x:c r="A11" s="32" t="str">
        <x:v>AI-007</x:v>
      </x:c>
      <x:c r="B11" s="32" t="str">
        <x:v>Unregistered GenAI Usage</x:v>
      </x:c>
      <x:c r="C11" s="32" t="str">
        <x:v>Discovered employee use of external public generative-AI tools without formal approval or centralized governance.</x:v>
      </x:c>
      <x:c r="D11" s="32" t="str">
        <x:v>Multiple business processes</x:v>
      </x:c>
      <x:c r="E11" s="32" t="str">
        <x:v>External / Shadow</x:v>
      </x:c>
      <x:c r="F11" s="32" t="str">
        <x:v>Multiple / currently unclear</x:v>
      </x:c>
      <x:c r="G11" s="32"/>
      <x:c r="H11" s="32" t="str">
        <x:v>Multiple / unknown</x:v>
      </x:c>
      <x:c r="I11" s="32" t="str">
        <x:v>Multiple / Unknown</x:v>
      </x:c>
      <x:c r="J11" s="32" t="str">
        <x:v>Discovered</x:v>
      </x:c>
      <x:c r="K11" s="34" t="n">
        <x:v>46208</x:v>
      </x:c>
      <x:c r="L11" s="34" t="n">
        <x:v>46231</x:v>
      </x:c>
      <x:c r="M11" s="34" t="n">
        <x:v>46265</x:v>
      </x:c>
      <x:c r="N11" s="32" t="str">
        <x:v>Third-party GenAI SaaS</x:v>
      </x:c>
      <x:c r="O11" s="32" t="str">
        <x:v>Multiple public AI services</x:v>
      </x:c>
      <x:c r="P11" s="32" t="str">
        <x:v>Multiple unknown vendors</x:v>
      </x:c>
      <x:c r="Q11" s="32" t="str">
        <x:v>External public SaaS</x:v>
      </x:c>
      <x:c r="R11" s="32" t="str">
        <x:v>Potentially product specifications; customer correspondence; source code; HR documents; translations; internal documents</x:v>
      </x:c>
      <x:c r="S11" s="32" t="str">
        <x:v>Drafted text; summaries; code; translations; research</x:v>
      </x:c>
      <x:c r="T11" s="32" t="str">
        <x:v>Mixed</x:v>
      </x:c>
      <x:c r="U11" s="32" t="str">
        <x:v>Potentially</x:v>
      </x:c>
      <x:c r="V11" s="32" t="str">
        <x:v>Potentially</x:v>
      </x:c>
      <x:c r="W11" s="32" t="str">
        <x:v>Potentially</x:v>
      </x:c>
      <x:c r="X11" s="32" t="str">
        <x:v>Employees using public AI tools</x:v>
      </x:c>
      <x:c r="Y11" s="32" t="str">
        <x:v>Potentially customers, applicants, employees, suppliers</x:v>
      </x:c>
      <x:c r="Z11" s="32" t="str">
        <x:v>Unknown</x:v>
      </x:c>
      <x:c r="AA11" s="32" t="str">
        <x:v>Unknown</x:v>
      </x:c>
      <x:c r="AB11" s="32" t="str">
        <x:v>Yes</x:v>
      </x:c>
      <x:c r="AC11" s="32" t="str">
        <x:v>Unknown browser extensions / public SaaS</x:v>
      </x:c>
      <x:c r="AD11" s="32" t="str">
        <x:v>Unknown</x:v>
      </x:c>
      <x:c r="AE11" s="32" t="str">
        <x:v>Unknown</x:v>
      </x:c>
      <x:c r="AF11" s="32" t="str">
        <x:v>Critical</x:v>
      </x:c>
      <x:c r="AG11" s="32" t="str">
        <x:v>Critical (20)</x:v>
      </x:c>
      <x:c r="AH11" s="32" t="str">
        <x:v>Weak</x:v>
      </x:c>
      <x:c r="AI11" s="32" t="str">
        <x:v>Critical (20)</x:v>
      </x:c>
      <x:c r="AJ11" s="32" t="str">
        <x:v>Refresh Required</x:v>
      </x:c>
      <x:c r="AK11" s="32" t="str">
        <x:v>Not Started</x:v>
      </x:c>
      <x:c r="AL11" s="32" t="str">
        <x:v>Not Applicable</x:v>
      </x:c>
      <x:c r="AM11" s="32" t="str">
        <x:v>Immediate containment</x:v>
      </x:c>
      <x:c r="AN11" s="32" t="str">
        <x:v>Confidentiality/IP leakage; personal-data exposure; unknown retention; unapproved vendors; no logging; weak incident response</x:v>
      </x:c>
      <x:c r="AO11" s="32" t="str">
        <x:v>AI acceptable-use standard; approved-tool catalogue; DLP; awareness training; discovery controls; exception process</x:v>
      </x:c>
      <x:c r="AP11" s="32" t="str">
        <x:v>Unapproved-tool detections; DLP events; exception requests; training completion</x:v>
      </x:c>
      <x:c r="AQ11" s="32" t="str">
        <x:v>CASB/SSE discovery where available; periodic employee attestation</x:v>
      </x:c>
      <x:c r="AR11" s="32"/>
      <x:c r="AS11" s="34" t="n">
        <x:v>46231</x:v>
      </x:c>
      <x:c r="AT11" s="32" t="str">
        <x:v>Synthetic discovery event opened</x:v>
      </x:c>
      <x:c r="AU11" s="32" t="str">
        <x:v>Synthetic repository / 05-control-framework</x:v>
      </x:c>
      <x:c r="AV11" s="34"/>
      <x:c r="AW11" s="34"/>
      <x:c r="AX11" s="32" t="str">
        <x:v>Not Applicable</x:v>
      </x:c>
      <x:c r="AY11" s="32" t="str">
        <x:v>Governance issue rather than a single managed system; retained in inventory to evidence shadow-AI discovery. Regulatory classification unknown because multiple unregistered use cases exist; each discovered use requires separate intended-purpose and legal classification. Target residual risk: High (10). Evidence confidence: Low.</x:v>
      </x:c>
    </x:row>
  </x:sheetData>
  <x:mergeCells>
    <x:mergeCell ref="A1:AY1"/>
    <x:mergeCell ref="A2:AY2"/>
    <x:mergeCell ref="A3:AY3"/>
  </x:mergeCells>
  <x:conditionalFormatting sqref="AG5:AG100">
    <x:cfRule type="expression" dxfId="0" priority="1">
      <x:formula>LEFT(AG5,8)="Critical"</x:formula>
    </x:cfRule>
    <x:cfRule type="expression" dxfId="1" priority="2">
      <x:formula>LEFT(AG5,4)="High"</x:formula>
    </x:cfRule>
    <x:cfRule type="expression" dxfId="2" priority="3">
      <x:formula>LEFT(AG5,8)="Moderate"</x:formula>
    </x:cfRule>
    <x:cfRule type="expression" dxfId="3" priority="4">
      <x:formula>LEFT(AG5,3)="Low"</x:formula>
    </x:cfRule>
  </x:conditionalFormatting>
  <x:conditionalFormatting sqref="AI5:AI100">
    <x:cfRule type="expression" dxfId="4" priority="5">
      <x:formula>LEFT(AI5,8)="Critical"</x:formula>
    </x:cfRule>
    <x:cfRule type="expression" dxfId="5" priority="6">
      <x:formula>LEFT(AI5,4)="High"</x:formula>
    </x:cfRule>
    <x:cfRule type="expression" dxfId="6" priority="7">
      <x:formula>LEFT(AI5,8)="Moderate"</x:formula>
    </x:cfRule>
    <x:cfRule type="expression" dxfId="7" priority="8">
      <x:formula>LEFT(AI5,3)="Low"</x:formula>
    </x:cfRule>
  </x:conditionalFormatting>
  <x:dataValidations count="13">
    <x:dataValidation type="list" sqref="J5:J100">
      <x:formula1>"Concept,Development,Pilot,Production,Discovered,Retired"</x:formula1>
    </x:dataValidation>
    <x:dataValidation type="list" sqref="T5:T100">
      <x:formula1>"Public,Internal,Confidential,Highly Confidential,Mixed,TBD"</x:formula1>
    </x:dataValidation>
    <x:dataValidation type="list" sqref="U5:U100">
      <x:formula1>"Yes,No,Potentially,Unknown"</x:formula1>
    </x:dataValidation>
    <x:dataValidation type="list" sqref="V5:V100">
      <x:formula1>"Yes,No,Potentially,Unknown"</x:formula1>
    </x:dataValidation>
    <x:dataValidation type="list" sqref="W5:W100">
      <x:formula1>"Yes,No,Potentially,Unknown"</x:formula1>
    </x:dataValidation>
    <x:dataValidation type="list" sqref="AB5:AB100">
      <x:formula1>"Yes,No,Potentially,Unknown"</x:formula1>
    </x:dataValidation>
    <x:dataValidation type="list" sqref="Z5:Z100">
      <x:formula1>"Assistive,Decision Support,Semi-automated,Automated,Unknown"</x:formula1>
    </x:dataValidation>
    <x:dataValidation type="list" sqref="AA5:AA100">
      <x:formula1>"Mandatory,Required,Required for consequential decisions,Unknown,Not Applicable"</x:formula1>
    </x:dataValidation>
    <x:dataValidation type="list" sqref="AF5:AF100">
      <x:formula1>"Low,Medium,High,Critical"</x:formula1>
    </x:dataValidation>
    <x:dataValidation type="list" sqref="AH5:AH100">
      <x:formula1>"Not Implemented,Weak,Partially Effective,Effective,Strong / Verified"</x:formula1>
    </x:dataValidation>
    <x:dataValidation type="list" sqref="AJ5:AJ100">
      <x:formula1>"Not Started,Planned,In Progress,Complete,Refresh Required,Not Applicable"</x:formula1>
    </x:dataValidation>
    <x:dataValidation type="list" sqref="AK5:AK100">
      <x:formula1>"Not Started,Planned,In Progress,Complete,Refresh Required,Not Applicable"</x:formula1>
    </x:dataValidation>
    <x:dataValidation type="list" sqref="AL5:AL100">
      <x:formula1>"Not Submitted,Under Review,Conditionally Approved,Approved,Not Applicable"</x:formula1>
    </x:dataValidation>
  </x:dataValidations>
  <x:pageMargins left="0.7" right="0.7" top="0.75" bottom="0.75" header="0.3" footer="0.3"/>
  <x:tableParts count="1">
    <x:tablePart xmlns:r="http://schemas.openxmlformats.org/officeDocument/2006/relationships" r:id="R2f7140befb2b442e"/>
  </x:tableParts>
</x:worksheet>
</file>

<file path=xl/worksheets/sheet2.xml><?xml version="1.0" encoding="utf-8"?>
<x:worksheet xmlns:x="http://schemas.openxmlformats.org/spreadsheetml/2006/main">
  <x:sheetFormatPr defaultRowHeight="15"/>
  <x:cols>
    <x:col min="1" max="1" width="11" hidden="0" customWidth="1"/>
    <x:col min="2" max="2" width="22" hidden="0" customWidth="1"/>
    <x:col min="3" max="3" width="16" hidden="0" customWidth="1"/>
    <x:col min="4" max="4" width="31" hidden="0" customWidth="1"/>
    <x:col min="5" max="5" width="21" hidden="0" customWidth="1"/>
    <x:col min="6" max="6" width="15" hidden="0" customWidth="1"/>
    <x:col min="8" max="8" width="16" hidden="0" customWidth="1"/>
    <x:col min="9" max="9" width="16" hidden="0" customWidth="1"/>
  </x:cols>
  <x:sheetData>
    <x:row r="1" ht="28" customHeight="1">
      <x:c r="A1" s="60" t="str">
        <x:v>DUCKWORKS | AI ASSET INVENTORY DASHBOARD</x:v>
      </x:c>
      <x:c r="B1" s="61"/>
      <x:c r="C1" s="61"/>
      <x:c r="D1" s="61"/>
      <x:c r="E1" s="61"/>
      <x:c r="F1" s="61"/>
      <x:c r="G1" s="61"/>
      <x:c r="H1" s="61"/>
      <x:c r="I1" s="61"/>
      <x:c r="J1" s="61"/>
      <x:c r="K1" s="61"/>
      <x:c r="L1" s="61"/>
      <x:c r="M1" s="61"/>
      <x:c r="N1" s="61"/>
      <x:c r="O1" s="61"/>
      <x:c r="P1" s="61"/>
      <x:c r="Q1" s="61"/>
      <x:c r="R1" s="61"/>
      <x:c r="S1" s="61"/>
      <x:c r="T1" s="61"/>
      <x:c r="U1" s="61"/>
      <x:c r="V1" s="61"/>
      <x:c r="W1" s="61"/>
      <x:c r="X1" s="61"/>
      <x:c r="Y1" s="61"/>
      <x:c r="Z1" s="61"/>
    </x:row>
    <x:row r="2" ht="32" customHeight="1">
      <x:c r="A2" s="62" t="str">
        <x:v>Portfolio view derived from the QuackTrack AI Asset Inventory. Risk values are Duckworks internal governance ratings, not statutory classifications.</x:v>
      </x:c>
      <x:c r="B2" s="61"/>
      <x:c r="C2" s="61"/>
      <x:c r="D2" s="61"/>
      <x:c r="E2" s="61"/>
      <x:c r="F2" s="61"/>
      <x:c r="G2" s="61"/>
      <x:c r="H2" s="61"/>
      <x:c r="I2" s="61"/>
      <x:c r="J2" s="61"/>
      <x:c r="K2" s="61"/>
      <x:c r="L2" s="61"/>
      <x:c r="M2" s="61"/>
      <x:c r="N2" s="61"/>
      <x:c r="O2" s="61"/>
      <x:c r="P2" s="61"/>
      <x:c r="Q2" s="61"/>
      <x:c r="R2" s="61"/>
      <x:c r="S2" s="61"/>
      <x:c r="T2" s="61"/>
      <x:c r="U2" s="61"/>
      <x:c r="V2" s="61"/>
      <x:c r="W2" s="61"/>
      <x:c r="X2" s="61"/>
      <x:c r="Y2" s="61"/>
      <x:c r="Z2" s="61"/>
    </x:row>
    <x:row r="3">
      <x:c r="A3" s="61"/>
      <x:c r="B3" s="61"/>
      <x:c r="C3" s="61"/>
      <x:c r="D3" s="61"/>
      <x:c r="E3" s="61"/>
      <x:c r="F3" s="61"/>
      <x:c r="G3" s="61"/>
      <x:c r="H3" s="61"/>
      <x:c r="I3" s="61"/>
      <x:c r="J3" s="61"/>
      <x:c r="K3" s="61"/>
      <x:c r="L3" s="61"/>
      <x:c r="M3" s="61"/>
      <x:c r="N3" s="61"/>
      <x:c r="O3" s="61"/>
      <x:c r="P3" s="61"/>
      <x:c r="Q3" s="61"/>
      <x:c r="R3" s="61"/>
      <x:c r="S3" s="61"/>
      <x:c r="T3" s="61"/>
      <x:c r="U3" s="61"/>
      <x:c r="V3" s="61"/>
      <x:c r="W3" s="61"/>
      <x:c r="X3" s="61"/>
      <x:c r="Y3" s="61"/>
      <x:c r="Z3" s="61"/>
    </x:row>
    <x:row r="4">
      <x:c r="A4" s="63" t="str">
        <x:v>Total entries</x:v>
      </x:c>
      <x:c r="B4" s="64" t="n">
        <x:f>COUNTA('AI Asset Inventory'!A5:A100)</x:f>
        <x:v>7</x:v>
      </x:c>
      <x:c r="C4" s="63" t="str">
        <x:v>Managed systems</x:v>
      </x:c>
      <x:c r="D4" s="64" t="n">
        <x:f>COUNTIF('AI Asset Inventory'!J5:J100,"&lt;&gt;Discovered")-COUNTBLANK('AI Asset Inventory'!J5:J100)</x:f>
        <x:v>6</x:v>
      </x:c>
      <x:c r="E4" s="63" t="str">
        <x:v>Shadow conditions</x:v>
      </x:c>
      <x:c r="F4" s="64" t="n">
        <x:f>COUNTIF('AI Asset Inventory'!J5:J100,"Discovered")</x:f>
        <x:v>1</x:v>
      </x:c>
      <x:c r="G4" s="63" t="str">
        <x:v>Critical residual</x:v>
      </x:c>
      <x:c r="H4" s="64" t="n">
        <x:f>COUNTIF('AI Asset Inventory'!AI5:AI100,"Critical (20)")+COUNTIF('AI Asset Inventory'!AI5:AI100,"Critical (25)")</x:f>
        <x:v>2</x:v>
      </x:c>
      <x:c r="I4" s="63" t="str">
        <x:v>High residual</x:v>
      </x:c>
      <x:c r="J4" s="64" t="n">
        <x:f>COUNTIF('AI Asset Inventory'!AI5:AI100,"High (10)")+COUNTIF('AI Asset Inventory'!AI5:AI100,"High (12)")+COUNTIF('AI Asset Inventory'!AI5:AI100,"High (15)")+COUNTIF('AI Asset Inventory'!AI5:AI100,"High (16)")</x:f>
        <x:v>4</x:v>
      </x:c>
      <x:c r="K4" s="63" t="str">
        <x:v>Moderate residual</x:v>
      </x:c>
      <x:c r="L4" s="64" t="n">
        <x:f>COUNTIF('AI Asset Inventory'!AI5:AI100,"Moderate (5)")+COUNTIF('AI Asset Inventory'!AI5:AI100,"Moderate (6)")+COUNTIF('AI Asset Inventory'!AI5:AI100,"Moderate (8)")+COUNTIF('AI Asset Inventory'!AI5:AI100,"Moderate (9)")</x:f>
        <x:v>1</x:v>
      </x:c>
      <x:c r="M4" s="61"/>
      <x:c r="N4" s="61"/>
      <x:c r="O4" s="61"/>
      <x:c r="P4" s="61"/>
      <x:c r="Q4" s="61"/>
      <x:c r="R4" s="61"/>
      <x:c r="S4" s="61"/>
      <x:c r="T4" s="61"/>
      <x:c r="U4" s="61"/>
      <x:c r="V4" s="61"/>
      <x:c r="W4" s="61"/>
      <x:c r="X4" s="61"/>
      <x:c r="Y4" s="61"/>
      <x:c r="Z4" s="61"/>
    </x:row>
    <x:row r="5">
      <x:c r="A5" s="61"/>
      <x:c r="B5" s="61"/>
      <x:c r="C5" s="61"/>
      <x:c r="D5" s="61"/>
      <x:c r="E5" s="61"/>
      <x:c r="F5" s="61"/>
      <x:c r="G5" s="61"/>
      <x:c r="H5" s="61"/>
      <x:c r="I5" s="61"/>
      <x:c r="J5" s="61"/>
      <x:c r="K5" s="61"/>
      <x:c r="L5" s="61"/>
      <x:c r="M5" s="61"/>
      <x:c r="N5" s="61"/>
      <x:c r="O5" s="61"/>
      <x:c r="P5" s="61"/>
      <x:c r="Q5" s="61"/>
      <x:c r="R5" s="61"/>
      <x:c r="S5" s="61"/>
      <x:c r="T5" s="61"/>
      <x:c r="U5" s="61"/>
      <x:c r="V5" s="61"/>
      <x:c r="W5" s="61"/>
      <x:c r="X5" s="61"/>
      <x:c r="Y5" s="61"/>
      <x:c r="Z5" s="61"/>
    </x:row>
    <x:row r="6">
      <x:c r="A6" s="65" t="str">
        <x:v>Current governance watchlist</x:v>
      </x:c>
      <x:c r="B6" s="61"/>
      <x:c r="C6" s="61"/>
      <x:c r="D6" s="61"/>
      <x:c r="E6" s="61"/>
      <x:c r="F6" s="61"/>
      <x:c r="G6" s="61"/>
      <x:c r="H6" s="61"/>
      <x:c r="I6" s="61"/>
      <x:c r="J6" s="61"/>
      <x:c r="K6" s="61"/>
      <x:c r="L6" s="61"/>
      <x:c r="M6" s="61"/>
      <x:c r="N6" s="61"/>
      <x:c r="O6" s="61"/>
      <x:c r="P6" s="61"/>
      <x:c r="Q6" s="61"/>
      <x:c r="R6" s="61"/>
      <x:c r="S6" s="61"/>
      <x:c r="T6" s="61"/>
      <x:c r="U6" s="61"/>
      <x:c r="V6" s="61"/>
      <x:c r="W6" s="61"/>
      <x:c r="X6" s="61"/>
      <x:c r="Y6" s="61"/>
      <x:c r="Z6" s="61"/>
    </x:row>
    <x:row r="7">
      <x:c r="A7" s="63" t="str">
        <x:v>AI ID</x:v>
      </x:c>
      <x:c r="B7" s="63" t="str">
        <x:v>System</x:v>
      </x:c>
      <x:c r="C7" s="63" t="str">
        <x:v>Residual Risk</x:v>
      </x:c>
      <x:c r="D7" s="63" t="str">
        <x:v>Governance Gate</x:v>
      </x:c>
      <x:c r="E7" s="63" t="str">
        <x:v>Approval Status</x:v>
      </x:c>
      <x:c r="F7" s="63" t="str">
        <x:v>Next Review</x:v>
      </x:c>
      <x:c r="G7" s="61"/>
      <x:c r="H7" s="66" t="str">
        <x:v>Residual Risk</x:v>
      </x:c>
      <x:c r="I7" s="66" t="str">
        <x:v>Count</x:v>
      </x:c>
      <x:c r="J7" s="61"/>
      <x:c r="K7" s="61"/>
      <x:c r="L7" s="61"/>
      <x:c r="M7" s="61"/>
      <x:c r="N7" s="61"/>
      <x:c r="O7" s="61"/>
      <x:c r="P7" s="61"/>
      <x:c r="Q7" s="61"/>
      <x:c r="R7" s="61"/>
      <x:c r="S7" s="61"/>
      <x:c r="T7" s="61"/>
      <x:c r="U7" s="61"/>
      <x:c r="V7" s="61"/>
      <x:c r="W7" s="61"/>
      <x:c r="X7" s="61"/>
      <x:c r="Y7" s="61"/>
      <x:c r="Z7" s="61"/>
    </x:row>
    <x:row r="8">
      <x:c r="A8" s="67" t="str">
        <x:f>'AI Asset Inventory'!A5</x:f>
        <x:v>AI-001</x:v>
      </x:c>
      <x:c r="B8" s="67" t="str">
        <x:f>'AI Asset Inventory'!B5</x:f>
        <x:v>DuckDesign AI</x:v>
      </x:c>
      <x:c r="C8" s="67" t="str">
        <x:f>'AI Asset Inventory'!AI5</x:f>
        <x:v>High (10)</x:v>
      </x:c>
      <x:c r="D8" s="67" t="str">
        <x:f>'AI Asset Inventory'!AM5</x:f>
        <x:v>Restricted pilot only</x:v>
      </x:c>
      <x:c r="E8" s="67" t="str">
        <x:f>'AI Asset Inventory'!AL5</x:f>
        <x:v>Under Review</x:v>
      </x:c>
      <x:c r="F8" s="68" t="n">
        <x:f>'AI Asset Inventory'!M5</x:f>
        <x:v>46310</x:v>
      </x:c>
      <x:c r="G8" s="61"/>
      <x:c r="H8" s="61" t="str">
        <x:v>Low</x:v>
      </x:c>
      <x:c r="I8" s="61" t="n">
        <x:f>COUNTIF('AI Asset Inventory'!AI5:AI100,"Low (1)")+COUNTIF('AI Asset Inventory'!AI5:AI100,"Low (2)")+COUNTIF('AI Asset Inventory'!AI5:AI100,"Low (3)")+COUNTIF('AI Asset Inventory'!AI5:AI100,"Low (4)")</x:f>
        <x:v>0</x:v>
      </x:c>
      <x:c r="J8" s="61"/>
      <x:c r="K8" s="61"/>
      <x:c r="L8" s="61"/>
      <x:c r="M8" s="61"/>
      <x:c r="N8" s="61"/>
      <x:c r="O8" s="61"/>
      <x:c r="P8" s="61"/>
      <x:c r="Q8" s="61"/>
      <x:c r="R8" s="61"/>
      <x:c r="S8" s="61"/>
      <x:c r="T8" s="61"/>
      <x:c r="U8" s="61"/>
      <x:c r="V8" s="61"/>
      <x:c r="W8" s="61"/>
      <x:c r="X8" s="61"/>
      <x:c r="Y8" s="61"/>
      <x:c r="Z8" s="61"/>
    </x:row>
    <x:row r="9">
      <x:c r="A9" s="67" t="str">
        <x:f>'AI Asset Inventory'!A6</x:f>
        <x:v>AI-002</x:v>
      </x:c>
      <x:c r="B9" s="67" t="str">
        <x:f>'AI Asset Inventory'!B6</x:f>
        <x:v>QuackBot</x:v>
      </x:c>
      <x:c r="C9" s="67" t="str">
        <x:f>'AI Asset Inventory'!AI6</x:f>
        <x:v>High (12)</x:v>
      </x:c>
      <x:c r="D9" s="67" t="str">
        <x:f>'AI Asset Inventory'!AM6</x:f>
        <x:v>Production blocked pending gates</x:v>
      </x:c>
      <x:c r="E9" s="67" t="str">
        <x:f>'AI Asset Inventory'!AL6</x:f>
        <x:v>Not Submitted</x:v>
      </x:c>
      <x:c r="F9" s="68" t="n">
        <x:f>'AI Asset Inventory'!M6</x:f>
        <x:v>46280</x:v>
      </x:c>
      <x:c r="G9" s="61"/>
      <x:c r="H9" s="61" t="str">
        <x:v>Moderate</x:v>
      </x:c>
      <x:c r="I9" s="61" t="n">
        <x:f>COUNTIF('AI Asset Inventory'!AI5:AI100,"Moderate (5)")+COUNTIF('AI Asset Inventory'!AI5:AI100,"Moderate (6)")+COUNTIF('AI Asset Inventory'!AI5:AI100,"Moderate (8)")+COUNTIF('AI Asset Inventory'!AI5:AI100,"Moderate (9)")</x:f>
        <x:v>1</x:v>
      </x:c>
      <x:c r="J9" s="61"/>
      <x:c r="K9" s="61"/>
      <x:c r="L9" s="61"/>
      <x:c r="M9" s="61"/>
      <x:c r="N9" s="61"/>
      <x:c r="O9" s="61"/>
      <x:c r="P9" s="61"/>
      <x:c r="Q9" s="61"/>
      <x:c r="R9" s="61"/>
      <x:c r="S9" s="61"/>
      <x:c r="T9" s="61"/>
      <x:c r="U9" s="61"/>
      <x:c r="V9" s="61"/>
      <x:c r="W9" s="61"/>
      <x:c r="X9" s="61"/>
      <x:c r="Y9" s="61"/>
      <x:c r="Z9" s="61"/>
    </x:row>
    <x:row r="10">
      <x:c r="A10" s="67" t="str">
        <x:f>'AI Asset Inventory'!A7</x:f>
        <x:v>AI-003</x:v>
      </x:c>
      <x:c r="B10" s="67" t="str">
        <x:f>'AI Asset Inventory'!B7</x:f>
        <x:v>FeatherForecast</x:v>
      </x:c>
      <x:c r="C10" s="67" t="str">
        <x:f>'AI Asset Inventory'!AI7</x:f>
        <x:v>Moderate (6)</x:v>
      </x:c>
      <x:c r="D10" s="67" t="str">
        <x:f>'AI Asset Inventory'!AM7</x:f>
        <x:v>Continue with monitoring</x:v>
      </x:c>
      <x:c r="E10" s="67" t="str">
        <x:f>'AI Asset Inventory'!AL7</x:f>
        <x:v>Approved</x:v>
      </x:c>
      <x:c r="F10" s="68" t="n">
        <x:f>'AI Asset Inventory'!M7</x:f>
        <x:v>46295</x:v>
      </x:c>
      <x:c r="G10" s="61"/>
      <x:c r="H10" s="61" t="str">
        <x:v>High</x:v>
      </x:c>
      <x:c r="I10" s="61" t="n">
        <x:f>COUNTIF('AI Asset Inventory'!AI5:AI100,"High (10)")+COUNTIF('AI Asset Inventory'!AI5:AI100,"High (12)")+COUNTIF('AI Asset Inventory'!AI5:AI100,"High (15)")+COUNTIF('AI Asset Inventory'!AI5:AI100,"High (16)")</x:f>
        <x:v>4</x:v>
      </x:c>
      <x:c r="J10" s="61"/>
      <x:c r="K10" s="61"/>
      <x:c r="L10" s="61"/>
      <x:c r="M10" s="61"/>
      <x:c r="N10" s="61"/>
      <x:c r="O10" s="61"/>
      <x:c r="P10" s="61"/>
      <x:c r="Q10" s="61"/>
      <x:c r="R10" s="61"/>
      <x:c r="S10" s="61"/>
      <x:c r="T10" s="61"/>
      <x:c r="U10" s="61"/>
      <x:c r="V10" s="61"/>
      <x:c r="W10" s="61"/>
      <x:c r="X10" s="61"/>
      <x:c r="Y10" s="61"/>
      <x:c r="Z10" s="61"/>
    </x:row>
    <x:row r="11">
      <x:c r="A11" s="67" t="str">
        <x:f>'AI Asset Inventory'!A8</x:f>
        <x:v>AI-004</x:v>
      </x:c>
      <x:c r="B11" s="67" t="str">
        <x:f>'AI Asset Inventory'!B8</x:f>
        <x:v>WingInspect Vision</x:v>
      </x:c>
      <x:c r="C11" s="67" t="str">
        <x:f>'AI Asset Inventory'!AI8</x:f>
        <x:v>High (10)</x:v>
      </x:c>
      <x:c r="D11" s="67" t="str">
        <x:f>'AI Asset Inventory'!AM8</x:f>
        <x:v>Restricted pilot only</x:v>
      </x:c>
      <x:c r="E11" s="67" t="str">
        <x:f>'AI Asset Inventory'!AL8</x:f>
        <x:v>Conditionally Approved</x:v>
      </x:c>
      <x:c r="F11" s="68" t="n">
        <x:f>'AI Asset Inventory'!M8</x:f>
        <x:v>46285</x:v>
      </x:c>
      <x:c r="G11" s="61"/>
      <x:c r="H11" s="61" t="str">
        <x:v>Critical</x:v>
      </x:c>
      <x:c r="I11" s="61" t="n">
        <x:f>COUNTIF('AI Asset Inventory'!AI5:AI100,"Critical (20)")+COUNTIF('AI Asset Inventory'!AI5:AI100,"Critical (25)")</x:f>
        <x:v>2</x:v>
      </x:c>
      <x:c r="J11" s="61"/>
      <x:c r="K11" s="61"/>
      <x:c r="L11" s="61"/>
      <x:c r="M11" s="61"/>
      <x:c r="N11" s="61"/>
      <x:c r="O11" s="61"/>
      <x:c r="P11" s="61"/>
      <x:c r="Q11" s="61"/>
      <x:c r="R11" s="61"/>
      <x:c r="S11" s="61"/>
      <x:c r="T11" s="61"/>
      <x:c r="U11" s="61"/>
      <x:c r="V11" s="61"/>
      <x:c r="W11" s="61"/>
      <x:c r="X11" s="61"/>
      <x:c r="Y11" s="61"/>
      <x:c r="Z11" s="61"/>
    </x:row>
    <x:row r="12">
      <x:c r="A12" s="67" t="str">
        <x:f>'AI Asset Inventory'!A9</x:f>
        <x:v>AI-005</x:v>
      </x:c>
      <x:c r="B12" s="67" t="str">
        <x:f>'AI Asset Inventory'!B9</x:f>
        <x:v>DuckTalent AI</x:v>
      </x:c>
      <x:c r="C12" s="67" t="str">
        <x:f>'AI Asset Inventory'!AI9</x:f>
        <x:v>Critical (20)</x:v>
      </x:c>
      <x:c r="D12" s="67" t="str">
        <x:f>'AI Asset Inventory'!AM9</x:f>
        <x:v>Do not deploy in current state</x:v>
      </x:c>
      <x:c r="E12" s="67" t="str">
        <x:f>'AI Asset Inventory'!AL9</x:f>
        <x:v>Not Submitted</x:v>
      </x:c>
      <x:c r="F12" s="68" t="n">
        <x:f>'AI Asset Inventory'!M9</x:f>
        <x:v>46266</x:v>
      </x:c>
      <x:c r="G12" s="61"/>
      <x:c r="H12" s="61"/>
      <x:c r="I12" s="61"/>
      <x:c r="J12" s="61"/>
      <x:c r="K12" s="61"/>
      <x:c r="L12" s="61"/>
      <x:c r="M12" s="61"/>
      <x:c r="N12" s="61"/>
      <x:c r="O12" s="61"/>
      <x:c r="P12" s="61"/>
      <x:c r="Q12" s="61"/>
      <x:c r="R12" s="61"/>
      <x:c r="S12" s="61"/>
      <x:c r="T12" s="61"/>
      <x:c r="U12" s="61"/>
      <x:c r="V12" s="61"/>
      <x:c r="W12" s="61"/>
      <x:c r="X12" s="61"/>
      <x:c r="Y12" s="61"/>
      <x:c r="Z12" s="61"/>
    </x:row>
    <x:row r="13">
      <x:c r="A13" s="67" t="str">
        <x:f>'AI Asset Inventory'!A10</x:f>
        <x:v>AI-006</x:v>
      </x:c>
      <x:c r="B13" s="67" t="str">
        <x:f>'AI Asset Inventory'!B10</x:f>
        <x:v>PondGPT</x:v>
      </x:c>
      <x:c r="C13" s="67" t="str">
        <x:f>'AI Asset Inventory'!AI10</x:f>
        <x:v>High (12)</x:v>
      </x:c>
      <x:c r="D13" s="67" t="str">
        <x:f>'AI Asset Inventory'!AM10</x:f>
        <x:v>Restricted pilot only</x:v>
      </x:c>
      <x:c r="E13" s="67" t="str">
        <x:f>'AI Asset Inventory'!AL10</x:f>
        <x:v>Conditionally Approved</x:v>
      </x:c>
      <x:c r="F13" s="68" t="n">
        <x:f>'AI Asset Inventory'!M10</x:f>
        <x:v>46290</x:v>
      </x:c>
      <x:c r="G13" s="61"/>
      <x:c r="H13" s="61"/>
      <x:c r="I13" s="61"/>
      <x:c r="J13" s="61"/>
      <x:c r="K13" s="61"/>
      <x:c r="L13" s="61"/>
      <x:c r="M13" s="61"/>
      <x:c r="N13" s="61"/>
      <x:c r="O13" s="61"/>
      <x:c r="P13" s="61"/>
      <x:c r="Q13" s="61"/>
      <x:c r="R13" s="61"/>
      <x:c r="S13" s="61"/>
      <x:c r="T13" s="61"/>
      <x:c r="U13" s="61"/>
      <x:c r="V13" s="61"/>
      <x:c r="W13" s="61"/>
      <x:c r="X13" s="61"/>
      <x:c r="Y13" s="61"/>
      <x:c r="Z13" s="61"/>
    </x:row>
    <x:row r="14">
      <x:c r="A14" s="67" t="str">
        <x:f>'AI Asset Inventory'!A11</x:f>
        <x:v>AI-007</x:v>
      </x:c>
      <x:c r="B14" s="67" t="str">
        <x:f>'AI Asset Inventory'!B11</x:f>
        <x:v>Unregistered GenAI Usage</x:v>
      </x:c>
      <x:c r="C14" s="67" t="str">
        <x:f>'AI Asset Inventory'!AI11</x:f>
        <x:v>Critical (20)</x:v>
      </x:c>
      <x:c r="D14" s="67" t="str">
        <x:f>'AI Asset Inventory'!AM11</x:f>
        <x:v>Immediate containment</x:v>
      </x:c>
      <x:c r="E14" s="67" t="str">
        <x:f>'AI Asset Inventory'!AL11</x:f>
        <x:v>Not Applicable</x:v>
      </x:c>
      <x:c r="F14" s="68" t="n">
        <x:f>'AI Asset Inventory'!M11</x:f>
        <x:v>46265</x:v>
      </x:c>
      <x:c r="G14" s="61"/>
      <x:c r="H14" s="61"/>
      <x:c r="I14" s="61"/>
      <x:c r="J14" s="61"/>
      <x:c r="K14" s="61"/>
      <x:c r="L14" s="61"/>
      <x:c r="M14" s="61"/>
      <x:c r="N14" s="61"/>
      <x:c r="O14" s="61"/>
      <x:c r="P14" s="61"/>
      <x:c r="Q14" s="61"/>
      <x:c r="R14" s="61"/>
      <x:c r="S14" s="61"/>
      <x:c r="T14" s="61"/>
      <x:c r="U14" s="61"/>
      <x:c r="V14" s="61"/>
      <x:c r="W14" s="61"/>
      <x:c r="X14" s="61"/>
      <x:c r="Y14" s="61"/>
      <x:c r="Z14" s="61"/>
    </x:row>
    <x:row r="15">
      <x:c r="A15" s="61"/>
      <x:c r="B15" s="61"/>
      <x:c r="C15" s="61"/>
      <x:c r="D15" s="61"/>
      <x:c r="E15" s="61"/>
      <x:c r="F15" s="61"/>
      <x:c r="G15" s="61"/>
      <x:c r="H15" s="61"/>
      <x:c r="I15" s="61"/>
      <x:c r="J15" s="61"/>
      <x:c r="K15" s="61"/>
      <x:c r="L15" s="61"/>
      <x:c r="M15" s="61"/>
      <x:c r="N15" s="61"/>
      <x:c r="O15" s="61"/>
      <x:c r="P15" s="61"/>
      <x:c r="Q15" s="61"/>
      <x:c r="R15" s="61"/>
      <x:c r="S15" s="61"/>
      <x:c r="T15" s="61"/>
      <x:c r="U15" s="61"/>
      <x:c r="V15" s="61"/>
      <x:c r="W15" s="61"/>
      <x:c r="X15" s="61"/>
      <x:c r="Y15" s="61"/>
      <x:c r="Z15" s="61"/>
    </x:row>
    <x:row r="16">
      <x:c r="A16" s="61"/>
      <x:c r="B16" s="61"/>
      <x:c r="C16" s="61"/>
      <x:c r="D16" s="61"/>
      <x:c r="E16" s="61"/>
      <x:c r="F16" s="61"/>
      <x:c r="G16" s="61"/>
      <x:c r="H16" s="61"/>
      <x:c r="I16" s="61"/>
      <x:c r="J16" s="61"/>
      <x:c r="K16" s="61"/>
      <x:c r="L16" s="61"/>
      <x:c r="M16" s="61"/>
      <x:c r="N16" s="61"/>
      <x:c r="O16" s="61"/>
      <x:c r="P16" s="61"/>
      <x:c r="Q16" s="61"/>
      <x:c r="R16" s="61"/>
      <x:c r="S16" s="61"/>
      <x:c r="T16" s="61"/>
      <x:c r="U16" s="61"/>
      <x:c r="V16" s="61"/>
      <x:c r="W16" s="61"/>
      <x:c r="X16" s="61"/>
      <x:c r="Y16" s="61"/>
      <x:c r="Z16" s="61"/>
    </x:row>
    <x:row r="17">
      <x:c r="A17" s="65" t="str">
        <x:v>Portfolio interpretation</x:v>
      </x:c>
      <x:c r="B17" s="61"/>
      <x:c r="C17" s="61"/>
      <x:c r="D17" s="61"/>
      <x:c r="E17" s="61"/>
      <x:c r="F17" s="61"/>
      <x:c r="G17" s="61"/>
      <x:c r="H17" s="61"/>
      <x:c r="I17" s="61"/>
      <x:c r="J17" s="61"/>
      <x:c r="K17" s="61"/>
      <x:c r="L17" s="61"/>
      <x:c r="M17" s="61"/>
      <x:c r="N17" s="61"/>
      <x:c r="O17" s="61"/>
      <x:c r="P17" s="61"/>
      <x:c r="Q17" s="61"/>
      <x:c r="R17" s="61"/>
      <x:c r="S17" s="61"/>
      <x:c r="T17" s="61"/>
      <x:c r="U17" s="61"/>
      <x:c r="V17" s="61"/>
      <x:c r="W17" s="61"/>
      <x:c r="X17" s="61"/>
      <x:c r="Y17" s="61"/>
      <x:c r="Z17" s="61"/>
    </x:row>
    <x:row r="18">
      <x:c r="A18" s="50" t="str">
        <x:v>• AI-005 DuckTalent remains blocked from real-applicant deployment.
• AI-007 is a discovered shadow-AI condition, not a single homogeneous system.
• AI-001, AI-004 and AI-006 remain restricted pilots.
• AI-002 remains blocked from customer-facing production pending release gates.
• AI-003 is the mature production baseline and continues with monitoring.
• Unknown provider/model/data facts must stay TBD or Unknown until evidenced.</x:v>
      </x:c>
      <x:c r="B18" s="50"/>
      <x:c r="C18" s="50"/>
      <x:c r="D18" s="50"/>
      <x:c r="E18" s="50"/>
      <x:c r="F18" s="50"/>
      <x:c r="G18" s="61"/>
      <x:c r="H18" s="61"/>
      <x:c r="I18" s="61"/>
      <x:c r="J18" s="61"/>
      <x:c r="K18" s="61"/>
      <x:c r="L18" s="61"/>
      <x:c r="M18" s="61"/>
      <x:c r="N18" s="61"/>
      <x:c r="O18" s="61"/>
      <x:c r="P18" s="61"/>
      <x:c r="Q18" s="61"/>
      <x:c r="R18" s="61"/>
      <x:c r="S18" s="61"/>
      <x:c r="T18" s="61"/>
      <x:c r="U18" s="61"/>
      <x:c r="V18" s="61"/>
      <x:c r="W18" s="61"/>
      <x:c r="X18" s="61"/>
      <x:c r="Y18" s="61"/>
      <x:c r="Z18" s="61"/>
    </x:row>
    <x:row r="19">
      <x:c r="A19" s="50"/>
      <x:c r="B19" s="50"/>
      <x:c r="C19" s="50"/>
      <x:c r="D19" s="50"/>
      <x:c r="E19" s="50"/>
      <x:c r="F19" s="50"/>
      <x:c r="G19" s="61"/>
      <x:c r="H19" s="61"/>
      <x:c r="I19" s="61"/>
      <x:c r="J19" s="61"/>
      <x:c r="K19" s="61"/>
      <x:c r="L19" s="61"/>
      <x:c r="M19" s="61"/>
      <x:c r="N19" s="61"/>
      <x:c r="O19" s="61"/>
      <x:c r="P19" s="61"/>
      <x:c r="Q19" s="61"/>
      <x:c r="R19" s="61"/>
      <x:c r="S19" s="61"/>
      <x:c r="T19" s="61"/>
      <x:c r="U19" s="61"/>
      <x:c r="V19" s="61"/>
      <x:c r="W19" s="61"/>
      <x:c r="X19" s="61"/>
      <x:c r="Y19" s="61"/>
      <x:c r="Z19" s="61"/>
    </x:row>
    <x:row r="20">
      <x:c r="A20" s="50"/>
      <x:c r="B20" s="50"/>
      <x:c r="C20" s="50"/>
      <x:c r="D20" s="50"/>
      <x:c r="E20" s="50"/>
      <x:c r="F20" s="50"/>
      <x:c r="G20" s="61"/>
      <x:c r="H20" s="61"/>
      <x:c r="I20" s="61"/>
      <x:c r="J20" s="61"/>
      <x:c r="K20" s="61"/>
      <x:c r="L20" s="61"/>
      <x:c r="M20" s="61"/>
      <x:c r="N20" s="61"/>
      <x:c r="O20" s="61"/>
      <x:c r="P20" s="61"/>
      <x:c r="Q20" s="61"/>
      <x:c r="R20" s="61"/>
      <x:c r="S20" s="61"/>
      <x:c r="T20" s="61"/>
      <x:c r="U20" s="61"/>
      <x:c r="V20" s="61"/>
      <x:c r="W20" s="61"/>
      <x:c r="X20" s="61"/>
      <x:c r="Y20" s="61"/>
      <x:c r="Z20" s="61"/>
    </x:row>
    <x:row r="21">
      <x:c r="A21" s="50"/>
      <x:c r="B21" s="50"/>
      <x:c r="C21" s="50"/>
      <x:c r="D21" s="50"/>
      <x:c r="E21" s="50"/>
      <x:c r="F21" s="50"/>
      <x:c r="G21" s="61"/>
      <x:c r="H21" s="61"/>
      <x:c r="I21" s="61"/>
      <x:c r="J21" s="61"/>
      <x:c r="K21" s="61"/>
      <x:c r="L21" s="61"/>
      <x:c r="M21" s="61"/>
      <x:c r="N21" s="61"/>
      <x:c r="O21" s="61"/>
      <x:c r="P21" s="61"/>
      <x:c r="Q21" s="61"/>
      <x:c r="R21" s="61"/>
      <x:c r="S21" s="61"/>
      <x:c r="T21" s="61"/>
      <x:c r="U21" s="61"/>
      <x:c r="V21" s="61"/>
      <x:c r="W21" s="61"/>
      <x:c r="X21" s="61"/>
      <x:c r="Y21" s="61"/>
      <x:c r="Z21" s="61"/>
    </x:row>
    <x:row r="22">
      <x:c r="A22" s="50"/>
      <x:c r="B22" s="50"/>
      <x:c r="C22" s="50"/>
      <x:c r="D22" s="50"/>
      <x:c r="E22" s="50"/>
      <x:c r="F22" s="50"/>
      <x:c r="G22" s="61"/>
      <x:c r="H22" s="61"/>
      <x:c r="I22" s="61"/>
      <x:c r="J22" s="61"/>
      <x:c r="K22" s="61"/>
      <x:c r="L22" s="61"/>
      <x:c r="M22" s="61"/>
      <x:c r="N22" s="61"/>
      <x:c r="O22" s="61"/>
      <x:c r="P22" s="61"/>
      <x:c r="Q22" s="61"/>
      <x:c r="R22" s="61"/>
      <x:c r="S22" s="61"/>
      <x:c r="T22" s="61"/>
      <x:c r="U22" s="61"/>
      <x:c r="V22" s="61"/>
      <x:c r="W22" s="61"/>
      <x:c r="X22" s="61"/>
      <x:c r="Y22" s="61"/>
      <x:c r="Z22" s="61"/>
    </x:row>
    <x:row r="23">
      <x:c r="A23" s="50"/>
      <x:c r="B23" s="50"/>
      <x:c r="C23" s="50"/>
      <x:c r="D23" s="50"/>
      <x:c r="E23" s="50"/>
      <x:c r="F23" s="50"/>
      <x:c r="G23" s="61"/>
      <x:c r="H23" s="61"/>
      <x:c r="I23" s="61"/>
      <x:c r="J23" s="61"/>
      <x:c r="K23" s="61"/>
      <x:c r="L23" s="61"/>
      <x:c r="M23" s="61"/>
      <x:c r="N23" s="61"/>
      <x:c r="O23" s="61"/>
      <x:c r="P23" s="61"/>
      <x:c r="Q23" s="61"/>
      <x:c r="R23" s="61"/>
      <x:c r="S23" s="61"/>
      <x:c r="T23" s="61"/>
      <x:c r="U23" s="61"/>
      <x:c r="V23" s="61"/>
      <x:c r="W23" s="61"/>
      <x:c r="X23" s="61"/>
      <x:c r="Y23" s="61"/>
      <x:c r="Z23" s="61"/>
    </x:row>
    <x:row r="24">
      <x:c r="A24" s="61"/>
      <x:c r="B24" s="61"/>
      <x:c r="C24" s="61"/>
      <x:c r="D24" s="61"/>
      <x:c r="E24" s="61"/>
      <x:c r="F24" s="61"/>
      <x:c r="G24" s="61"/>
      <x:c r="H24" s="61"/>
      <x:c r="I24" s="61"/>
      <x:c r="J24" s="61"/>
      <x:c r="K24" s="61"/>
      <x:c r="L24" s="61"/>
      <x:c r="M24" s="61"/>
      <x:c r="N24" s="61"/>
      <x:c r="O24" s="61"/>
      <x:c r="P24" s="61"/>
      <x:c r="Q24" s="61"/>
      <x:c r="R24" s="61"/>
      <x:c r="S24" s="61"/>
      <x:c r="T24" s="61"/>
      <x:c r="U24" s="61"/>
      <x:c r="V24" s="61"/>
      <x:c r="W24" s="61"/>
      <x:c r="X24" s="61"/>
      <x:c r="Y24" s="61"/>
      <x:c r="Z24" s="61"/>
    </x:row>
    <x:row r="25">
      <x:c r="A25" s="61"/>
      <x:c r="B25" s="61"/>
      <x:c r="C25" s="61"/>
      <x:c r="D25" s="61"/>
      <x:c r="E25" s="61"/>
      <x:c r="F25" s="61"/>
      <x:c r="G25" s="61"/>
      <x:c r="H25" s="61"/>
      <x:c r="I25" s="61"/>
      <x:c r="J25" s="61"/>
      <x:c r="K25" s="61"/>
      <x:c r="L25" s="61"/>
      <x:c r="M25" s="61"/>
      <x:c r="N25" s="61"/>
      <x:c r="O25" s="61"/>
      <x:c r="P25" s="61"/>
      <x:c r="Q25" s="61"/>
      <x:c r="R25" s="61"/>
      <x:c r="S25" s="61"/>
      <x:c r="T25" s="61"/>
      <x:c r="U25" s="61"/>
      <x:c r="V25" s="61"/>
      <x:c r="W25" s="61"/>
      <x:c r="X25" s="61"/>
      <x:c r="Y25" s="61"/>
      <x:c r="Z25" s="61"/>
    </x:row>
    <x:row r="26">
      <x:c r="A26" s="61"/>
      <x:c r="B26" s="61"/>
      <x:c r="C26" s="61"/>
      <x:c r="D26" s="61"/>
      <x:c r="E26" s="61"/>
      <x:c r="F26" s="61"/>
      <x:c r="G26" s="61"/>
      <x:c r="H26" s="61"/>
      <x:c r="I26" s="61"/>
      <x:c r="J26" s="61"/>
      <x:c r="K26" s="61"/>
      <x:c r="L26" s="61"/>
      <x:c r="M26" s="61"/>
      <x:c r="N26" s="61"/>
      <x:c r="O26" s="61"/>
      <x:c r="P26" s="61"/>
      <x:c r="Q26" s="61"/>
      <x:c r="R26" s="61"/>
      <x:c r="S26" s="61"/>
      <x:c r="T26" s="61"/>
      <x:c r="U26" s="61"/>
      <x:c r="V26" s="61"/>
      <x:c r="W26" s="61"/>
      <x:c r="X26" s="61"/>
      <x:c r="Y26" s="61"/>
      <x:c r="Z26" s="61"/>
    </x:row>
    <x:row r="27">
      <x:c r="A27" s="61"/>
      <x:c r="B27" s="61"/>
      <x:c r="C27" s="61"/>
      <x:c r="D27" s="61"/>
      <x:c r="E27" s="61"/>
      <x:c r="F27" s="61"/>
      <x:c r="G27" s="61"/>
      <x:c r="H27" s="61"/>
      <x:c r="I27" s="61"/>
      <x:c r="J27" s="61"/>
      <x:c r="K27" s="61"/>
      <x:c r="L27" s="61"/>
      <x:c r="M27" s="61"/>
      <x:c r="N27" s="61"/>
      <x:c r="O27" s="61"/>
      <x:c r="P27" s="61"/>
      <x:c r="Q27" s="61"/>
      <x:c r="R27" s="61"/>
      <x:c r="S27" s="61"/>
      <x:c r="T27" s="61"/>
      <x:c r="U27" s="61"/>
      <x:c r="V27" s="61"/>
      <x:c r="W27" s="61"/>
      <x:c r="X27" s="61"/>
      <x:c r="Y27" s="61"/>
      <x:c r="Z27" s="61"/>
    </x:row>
    <x:row r="28">
      <x:c r="A28" s="61"/>
      <x:c r="B28" s="61"/>
      <x:c r="C28" s="61"/>
      <x:c r="D28" s="61"/>
      <x:c r="E28" s="61"/>
      <x:c r="F28" s="61"/>
      <x:c r="G28" s="61"/>
      <x:c r="H28" s="61"/>
      <x:c r="I28" s="61"/>
      <x:c r="J28" s="61"/>
      <x:c r="K28" s="61"/>
      <x:c r="L28" s="61"/>
      <x:c r="M28" s="61"/>
      <x:c r="N28" s="61"/>
      <x:c r="O28" s="61"/>
      <x:c r="P28" s="61"/>
      <x:c r="Q28" s="61"/>
      <x:c r="R28" s="61"/>
      <x:c r="S28" s="61"/>
      <x:c r="T28" s="61"/>
      <x:c r="U28" s="61"/>
      <x:c r="V28" s="61"/>
      <x:c r="W28" s="61"/>
      <x:c r="X28" s="61"/>
      <x:c r="Y28" s="61"/>
      <x:c r="Z28" s="61"/>
    </x:row>
    <x:row r="29">
      <x:c r="A29" s="61"/>
      <x:c r="B29" s="61"/>
      <x:c r="C29" s="61"/>
      <x:c r="D29" s="61"/>
      <x:c r="E29" s="61"/>
      <x:c r="F29" s="61"/>
      <x:c r="G29" s="61"/>
      <x:c r="H29" s="66" t="str">
        <x:v>Lifecycle</x:v>
      </x:c>
      <x:c r="I29" s="66" t="str">
        <x:v>Count</x:v>
      </x:c>
      <x:c r="J29" s="61"/>
      <x:c r="K29" s="61"/>
      <x:c r="L29" s="61"/>
      <x:c r="M29" s="61"/>
      <x:c r="N29" s="61"/>
      <x:c r="O29" s="61"/>
      <x:c r="P29" s="61"/>
      <x:c r="Q29" s="61"/>
      <x:c r="R29" s="61"/>
      <x:c r="S29" s="61"/>
      <x:c r="T29" s="61"/>
      <x:c r="U29" s="61"/>
      <x:c r="V29" s="61"/>
      <x:c r="W29" s="61"/>
      <x:c r="X29" s="61"/>
      <x:c r="Y29" s="61"/>
      <x:c r="Z29" s="61"/>
    </x:row>
    <x:row r="30">
      <x:c r="A30" s="61"/>
      <x:c r="B30" s="61"/>
      <x:c r="C30" s="61"/>
      <x:c r="D30" s="61"/>
      <x:c r="E30" s="61"/>
      <x:c r="F30" s="61"/>
      <x:c r="G30" s="61"/>
      <x:c r="H30" s="61" t="str">
        <x:v>Concept</x:v>
      </x:c>
      <x:c r="I30" s="61" t="n">
        <x:f>COUNTIF('AI Asset Inventory'!J5:J100,"Concept")</x:f>
        <x:v>1</x:v>
      </x:c>
      <x:c r="J30" s="61"/>
      <x:c r="K30" s="61"/>
      <x:c r="L30" s="61"/>
      <x:c r="M30" s="61"/>
      <x:c r="N30" s="61"/>
      <x:c r="O30" s="61"/>
      <x:c r="P30" s="61"/>
      <x:c r="Q30" s="61"/>
      <x:c r="R30" s="61"/>
      <x:c r="S30" s="61"/>
      <x:c r="T30" s="61"/>
      <x:c r="U30" s="61"/>
      <x:c r="V30" s="61"/>
      <x:c r="W30" s="61"/>
      <x:c r="X30" s="61"/>
      <x:c r="Y30" s="61"/>
      <x:c r="Z30" s="61"/>
    </x:row>
    <x:row r="31">
      <x:c r="A31" s="61"/>
      <x:c r="B31" s="61"/>
      <x:c r="C31" s="61"/>
      <x:c r="D31" s="61"/>
      <x:c r="E31" s="61"/>
      <x:c r="F31" s="61"/>
      <x:c r="G31" s="61"/>
      <x:c r="H31" s="61" t="str">
        <x:v>Development</x:v>
      </x:c>
      <x:c r="I31" s="61" t="n">
        <x:f>COUNTIF('AI Asset Inventory'!J5:J100,"Development")</x:f>
        <x:v>1</x:v>
      </x:c>
      <x:c r="J31" s="61"/>
      <x:c r="K31" s="61"/>
      <x:c r="L31" s="61"/>
      <x:c r="M31" s="61"/>
      <x:c r="N31" s="61"/>
      <x:c r="O31" s="61"/>
      <x:c r="P31" s="61"/>
      <x:c r="Q31" s="61"/>
      <x:c r="R31" s="61"/>
      <x:c r="S31" s="61"/>
      <x:c r="T31" s="61"/>
      <x:c r="U31" s="61"/>
      <x:c r="V31" s="61"/>
      <x:c r="W31" s="61"/>
      <x:c r="X31" s="61"/>
      <x:c r="Y31" s="61"/>
      <x:c r="Z31" s="61"/>
    </x:row>
    <x:row r="32">
      <x:c r="A32" s="61"/>
      <x:c r="B32" s="61"/>
      <x:c r="C32" s="61"/>
      <x:c r="D32" s="61"/>
      <x:c r="E32" s="61"/>
      <x:c r="F32" s="61"/>
      <x:c r="G32" s="61"/>
      <x:c r="H32" s="61" t="str">
        <x:v>Pilot</x:v>
      </x:c>
      <x:c r="I32" s="61" t="n">
        <x:f>COUNTIF('AI Asset Inventory'!J5:J100,"Pilot")</x:f>
        <x:v>3</x:v>
      </x:c>
      <x:c r="J32" s="61"/>
      <x:c r="K32" s="61"/>
      <x:c r="L32" s="61"/>
      <x:c r="M32" s="61"/>
      <x:c r="N32" s="61"/>
      <x:c r="O32" s="61"/>
      <x:c r="P32" s="61"/>
      <x:c r="Q32" s="61"/>
      <x:c r="R32" s="61"/>
      <x:c r="S32" s="61"/>
      <x:c r="T32" s="61"/>
      <x:c r="U32" s="61"/>
      <x:c r="V32" s="61"/>
      <x:c r="W32" s="61"/>
      <x:c r="X32" s="61"/>
      <x:c r="Y32" s="61"/>
      <x:c r="Z32" s="61"/>
    </x:row>
    <x:row r="33">
      <x:c r="A33" s="61"/>
      <x:c r="B33" s="61"/>
      <x:c r="C33" s="61"/>
      <x:c r="D33" s="61"/>
      <x:c r="E33" s="61"/>
      <x:c r="F33" s="61"/>
      <x:c r="G33" s="61"/>
      <x:c r="H33" s="61" t="str">
        <x:v>Production</x:v>
      </x:c>
      <x:c r="I33" s="61" t="n">
        <x:f>COUNTIF('AI Asset Inventory'!J5:J100,"Production")</x:f>
        <x:v>1</x:v>
      </x:c>
      <x:c r="J33" s="61"/>
      <x:c r="K33" s="61"/>
      <x:c r="L33" s="61"/>
      <x:c r="M33" s="61"/>
      <x:c r="N33" s="61"/>
      <x:c r="O33" s="61"/>
      <x:c r="P33" s="61"/>
      <x:c r="Q33" s="61"/>
      <x:c r="R33" s="61"/>
      <x:c r="S33" s="61"/>
      <x:c r="T33" s="61"/>
      <x:c r="U33" s="61"/>
      <x:c r="V33" s="61"/>
      <x:c r="W33" s="61"/>
      <x:c r="X33" s="61"/>
      <x:c r="Y33" s="61"/>
      <x:c r="Z33" s="61"/>
    </x:row>
    <x:row r="34">
      <x:c r="A34" s="61"/>
      <x:c r="B34" s="61"/>
      <x:c r="C34" s="61"/>
      <x:c r="D34" s="61"/>
      <x:c r="E34" s="61"/>
      <x:c r="F34" s="61"/>
      <x:c r="G34" s="61"/>
      <x:c r="H34" s="61" t="str">
        <x:v>Discovered</x:v>
      </x:c>
      <x:c r="I34" s="61" t="n">
        <x:f>COUNTIF('AI Asset Inventory'!J5:J100,"Discovered")</x:f>
        <x:v>1</x:v>
      </x:c>
      <x:c r="J34" s="61"/>
      <x:c r="K34" s="61"/>
      <x:c r="L34" s="61"/>
      <x:c r="M34" s="61"/>
      <x:c r="N34" s="61"/>
      <x:c r="O34" s="61"/>
      <x:c r="P34" s="61"/>
      <x:c r="Q34" s="61"/>
      <x:c r="R34" s="61"/>
      <x:c r="S34" s="61"/>
      <x:c r="T34" s="61"/>
      <x:c r="U34" s="61"/>
      <x:c r="V34" s="61"/>
      <x:c r="W34" s="61"/>
      <x:c r="X34" s="61"/>
      <x:c r="Y34" s="61"/>
      <x:c r="Z34" s="61"/>
    </x:row>
    <x:row r="35">
      <x:c r="A35" s="61"/>
      <x:c r="B35" s="61"/>
      <x:c r="C35" s="61"/>
      <x:c r="D35" s="61"/>
      <x:c r="E35" s="61"/>
      <x:c r="F35" s="61"/>
      <x:c r="G35" s="61"/>
      <x:c r="H35" s="61"/>
      <x:c r="I35" s="61"/>
      <x:c r="J35" s="61"/>
      <x:c r="K35" s="61"/>
      <x:c r="L35" s="61"/>
      <x:c r="M35" s="61"/>
      <x:c r="N35" s="61"/>
      <x:c r="O35" s="61"/>
      <x:c r="P35" s="61"/>
      <x:c r="Q35" s="61"/>
      <x:c r="R35" s="61"/>
      <x:c r="S35" s="61"/>
      <x:c r="T35" s="61"/>
      <x:c r="U35" s="61"/>
      <x:c r="V35" s="61"/>
      <x:c r="W35" s="61"/>
      <x:c r="X35" s="61"/>
      <x:c r="Y35" s="61"/>
      <x:c r="Z35" s="61"/>
    </x:row>
    <x:row r="36">
      <x:c r="A36" s="61"/>
      <x:c r="B36" s="61"/>
      <x:c r="C36" s="61"/>
      <x:c r="D36" s="61"/>
      <x:c r="E36" s="61"/>
      <x:c r="F36" s="61"/>
      <x:c r="G36" s="61"/>
      <x:c r="H36" s="61"/>
      <x:c r="I36" s="61"/>
      <x:c r="J36" s="61"/>
      <x:c r="K36" s="61"/>
      <x:c r="L36" s="61"/>
      <x:c r="M36" s="61"/>
      <x:c r="N36" s="61"/>
      <x:c r="O36" s="61"/>
      <x:c r="P36" s="61"/>
      <x:c r="Q36" s="61"/>
      <x:c r="R36" s="61"/>
      <x:c r="S36" s="61"/>
      <x:c r="T36" s="61"/>
      <x:c r="U36" s="61"/>
      <x:c r="V36" s="61"/>
      <x:c r="W36" s="61"/>
      <x:c r="X36" s="61"/>
      <x:c r="Y36" s="61"/>
      <x:c r="Z36" s="61"/>
    </x:row>
    <x:row r="37">
      <x:c r="A37" s="61"/>
      <x:c r="B37" s="61"/>
      <x:c r="C37" s="61"/>
      <x:c r="D37" s="61"/>
      <x:c r="E37" s="61"/>
      <x:c r="F37" s="61"/>
      <x:c r="G37" s="61"/>
      <x:c r="H37" s="61"/>
      <x:c r="I37" s="61"/>
      <x:c r="J37" s="61"/>
      <x:c r="K37" s="61"/>
      <x:c r="L37" s="61"/>
      <x:c r="M37" s="61"/>
      <x:c r="N37" s="61"/>
      <x:c r="O37" s="61"/>
      <x:c r="P37" s="61"/>
      <x:c r="Q37" s="61"/>
      <x:c r="R37" s="61"/>
      <x:c r="S37" s="61"/>
      <x:c r="T37" s="61"/>
      <x:c r="U37" s="61"/>
      <x:c r="V37" s="61"/>
      <x:c r="W37" s="61"/>
      <x:c r="X37" s="61"/>
      <x:c r="Y37" s="61"/>
      <x:c r="Z37" s="61"/>
    </x:row>
    <x:row r="38">
      <x:c r="A38" s="61"/>
      <x:c r="B38" s="61"/>
      <x:c r="C38" s="61"/>
      <x:c r="D38" s="61"/>
      <x:c r="E38" s="61"/>
      <x:c r="F38" s="61"/>
      <x:c r="G38" s="61"/>
      <x:c r="H38" s="61"/>
      <x:c r="I38" s="61"/>
      <x:c r="J38" s="61"/>
      <x:c r="K38" s="61"/>
      <x:c r="L38" s="61"/>
      <x:c r="M38" s="61"/>
      <x:c r="N38" s="61"/>
      <x:c r="O38" s="61"/>
      <x:c r="P38" s="61"/>
      <x:c r="Q38" s="61"/>
      <x:c r="R38" s="61"/>
      <x:c r="S38" s="61"/>
      <x:c r="T38" s="61"/>
      <x:c r="U38" s="61"/>
      <x:c r="V38" s="61"/>
      <x:c r="W38" s="61"/>
      <x:c r="X38" s="61"/>
      <x:c r="Y38" s="61"/>
      <x:c r="Z38" s="61"/>
    </x:row>
    <x:row r="39">
      <x:c r="A39" s="61"/>
      <x:c r="B39" s="61"/>
      <x:c r="C39" s="61"/>
      <x:c r="D39" s="61"/>
      <x:c r="E39" s="61"/>
      <x:c r="F39" s="61"/>
      <x:c r="G39" s="61"/>
      <x:c r="H39" s="61"/>
      <x:c r="I39" s="61"/>
      <x:c r="J39" s="61"/>
      <x:c r="K39" s="61"/>
      <x:c r="L39" s="61"/>
      <x:c r="M39" s="61"/>
      <x:c r="N39" s="61"/>
      <x:c r="O39" s="61"/>
      <x:c r="P39" s="61"/>
      <x:c r="Q39" s="61"/>
      <x:c r="R39" s="61"/>
      <x:c r="S39" s="61"/>
      <x:c r="T39" s="61"/>
      <x:c r="U39" s="61"/>
      <x:c r="V39" s="61"/>
      <x:c r="W39" s="61"/>
      <x:c r="X39" s="61"/>
      <x:c r="Y39" s="61"/>
      <x:c r="Z39" s="61"/>
    </x:row>
    <x:row r="40">
      <x:c r="A40" s="61"/>
      <x:c r="B40" s="61"/>
      <x:c r="C40" s="61"/>
      <x:c r="D40" s="61"/>
      <x:c r="E40" s="61"/>
      <x:c r="F40" s="61"/>
      <x:c r="G40" s="61"/>
      <x:c r="H40" s="61"/>
      <x:c r="I40" s="61"/>
      <x:c r="J40" s="61"/>
      <x:c r="K40" s="61"/>
      <x:c r="L40" s="61"/>
      <x:c r="M40" s="61"/>
      <x:c r="N40" s="61"/>
      <x:c r="O40" s="61"/>
      <x:c r="P40" s="61"/>
      <x:c r="Q40" s="61"/>
      <x:c r="R40" s="61"/>
      <x:c r="S40" s="61"/>
      <x:c r="T40" s="61"/>
      <x:c r="U40" s="61"/>
      <x:c r="V40" s="61"/>
      <x:c r="W40" s="61"/>
      <x:c r="X40" s="61"/>
      <x:c r="Y40" s="61"/>
      <x:c r="Z40" s="61"/>
    </x:row>
    <x:row r="41">
      <x:c r="A41" s="61"/>
      <x:c r="B41" s="61"/>
      <x:c r="C41" s="61"/>
      <x:c r="D41" s="61"/>
      <x:c r="E41" s="61"/>
      <x:c r="F41" s="61"/>
      <x:c r="G41" s="61"/>
      <x:c r="H41" s="61"/>
      <x:c r="I41" s="61"/>
      <x:c r="J41" s="61"/>
      <x:c r="K41" s="61"/>
      <x:c r="L41" s="61"/>
      <x:c r="M41" s="61"/>
      <x:c r="N41" s="61"/>
      <x:c r="O41" s="61"/>
      <x:c r="P41" s="61"/>
      <x:c r="Q41" s="61"/>
      <x:c r="R41" s="61"/>
      <x:c r="S41" s="61"/>
      <x:c r="T41" s="61"/>
      <x:c r="U41" s="61"/>
      <x:c r="V41" s="61"/>
      <x:c r="W41" s="61"/>
      <x:c r="X41" s="61"/>
      <x:c r="Y41" s="61"/>
      <x:c r="Z41" s="61"/>
    </x:row>
    <x:row r="42">
      <x:c r="A42" s="61"/>
      <x:c r="B42" s="61"/>
      <x:c r="C42" s="61"/>
      <x:c r="D42" s="61"/>
      <x:c r="E42" s="61"/>
      <x:c r="F42" s="61"/>
      <x:c r="G42" s="61"/>
      <x:c r="H42" s="61"/>
      <x:c r="I42" s="61"/>
      <x:c r="J42" s="61"/>
      <x:c r="K42" s="61"/>
      <x:c r="L42" s="61"/>
      <x:c r="M42" s="61"/>
      <x:c r="N42" s="61"/>
      <x:c r="O42" s="61"/>
      <x:c r="P42" s="61"/>
      <x:c r="Q42" s="61"/>
      <x:c r="R42" s="61"/>
      <x:c r="S42" s="61"/>
      <x:c r="T42" s="61"/>
      <x:c r="U42" s="61"/>
      <x:c r="V42" s="61"/>
      <x:c r="W42" s="61"/>
      <x:c r="X42" s="61"/>
      <x:c r="Y42" s="61"/>
      <x:c r="Z42" s="61"/>
    </x:row>
    <x:row r="43">
      <x:c r="A43" s="61"/>
      <x:c r="B43" s="61"/>
      <x:c r="C43" s="61"/>
      <x:c r="D43" s="61"/>
      <x:c r="E43" s="61"/>
      <x:c r="F43" s="61"/>
      <x:c r="G43" s="61"/>
      <x:c r="H43" s="61"/>
      <x:c r="I43" s="61"/>
      <x:c r="J43" s="61"/>
      <x:c r="K43" s="61"/>
      <x:c r="L43" s="61"/>
      <x:c r="M43" s="61"/>
      <x:c r="N43" s="61"/>
      <x:c r="O43" s="61"/>
      <x:c r="P43" s="61"/>
      <x:c r="Q43" s="61"/>
      <x:c r="R43" s="61"/>
      <x:c r="S43" s="61"/>
      <x:c r="T43" s="61"/>
      <x:c r="U43" s="61"/>
      <x:c r="V43" s="61"/>
      <x:c r="W43" s="61"/>
      <x:c r="X43" s="61"/>
      <x:c r="Y43" s="61"/>
      <x:c r="Z43" s="61"/>
    </x:row>
    <x:row r="44">
      <x:c r="A44" s="61"/>
      <x:c r="B44" s="61"/>
      <x:c r="C44" s="61"/>
      <x:c r="D44" s="61"/>
      <x:c r="E44" s="61"/>
      <x:c r="F44" s="61"/>
      <x:c r="G44" s="61"/>
      <x:c r="H44" s="61"/>
      <x:c r="I44" s="61"/>
      <x:c r="J44" s="61"/>
      <x:c r="K44" s="61"/>
      <x:c r="L44" s="61"/>
      <x:c r="M44" s="61"/>
      <x:c r="N44" s="61"/>
      <x:c r="O44" s="61"/>
      <x:c r="P44" s="61"/>
      <x:c r="Q44" s="61"/>
      <x:c r="R44" s="61"/>
      <x:c r="S44" s="61"/>
      <x:c r="T44" s="61"/>
      <x:c r="U44" s="61"/>
      <x:c r="V44" s="61"/>
      <x:c r="W44" s="61"/>
      <x:c r="X44" s="61"/>
      <x:c r="Y44" s="61"/>
      <x:c r="Z44" s="61"/>
    </x:row>
    <x:row r="45">
      <x:c r="A45" s="61"/>
      <x:c r="B45" s="61"/>
      <x:c r="C45" s="61"/>
      <x:c r="D45" s="61"/>
      <x:c r="E45" s="61"/>
      <x:c r="F45" s="61"/>
      <x:c r="G45" s="61"/>
      <x:c r="H45" s="61"/>
      <x:c r="I45" s="61"/>
      <x:c r="J45" s="61"/>
      <x:c r="K45" s="61"/>
      <x:c r="L45" s="61"/>
      <x:c r="M45" s="61"/>
      <x:c r="N45" s="61"/>
      <x:c r="O45" s="61"/>
      <x:c r="P45" s="61"/>
      <x:c r="Q45" s="61"/>
      <x:c r="R45" s="61"/>
      <x:c r="S45" s="61"/>
      <x:c r="T45" s="61"/>
      <x:c r="U45" s="61"/>
      <x:c r="V45" s="61"/>
      <x:c r="W45" s="61"/>
      <x:c r="X45" s="61"/>
      <x:c r="Y45" s="61"/>
      <x:c r="Z45" s="61"/>
    </x:row>
    <x:row r="46">
      <x:c r="A46" s="61"/>
      <x:c r="B46" s="61"/>
      <x:c r="C46" s="61"/>
      <x:c r="D46" s="61"/>
      <x:c r="E46" s="61"/>
      <x:c r="F46" s="61"/>
      <x:c r="G46" s="61"/>
      <x:c r="H46" s="61"/>
      <x:c r="I46" s="61"/>
      <x:c r="J46" s="61"/>
      <x:c r="K46" s="61"/>
      <x:c r="L46" s="61"/>
      <x:c r="M46" s="61"/>
      <x:c r="N46" s="61"/>
      <x:c r="O46" s="61"/>
      <x:c r="P46" s="61"/>
      <x:c r="Q46" s="61"/>
      <x:c r="R46" s="61"/>
      <x:c r="S46" s="61"/>
      <x:c r="T46" s="61"/>
      <x:c r="U46" s="61"/>
      <x:c r="V46" s="61"/>
      <x:c r="W46" s="61"/>
      <x:c r="X46" s="61"/>
      <x:c r="Y46" s="61"/>
      <x:c r="Z46" s="61"/>
    </x:row>
    <x:row r="47">
      <x:c r="A47" s="61"/>
      <x:c r="B47" s="61"/>
      <x:c r="C47" s="61"/>
      <x:c r="D47" s="61"/>
      <x:c r="E47" s="61"/>
      <x:c r="F47" s="61"/>
      <x:c r="G47" s="61"/>
      <x:c r="H47" s="61"/>
      <x:c r="I47" s="61"/>
      <x:c r="J47" s="61"/>
      <x:c r="K47" s="61"/>
      <x:c r="L47" s="61"/>
      <x:c r="M47" s="61"/>
      <x:c r="N47" s="61"/>
      <x:c r="O47" s="61"/>
      <x:c r="P47" s="61"/>
      <x:c r="Q47" s="61"/>
      <x:c r="R47" s="61"/>
      <x:c r="S47" s="61"/>
      <x:c r="T47" s="61"/>
      <x:c r="U47" s="61"/>
      <x:c r="V47" s="61"/>
      <x:c r="W47" s="61"/>
      <x:c r="X47" s="61"/>
      <x:c r="Y47" s="61"/>
      <x:c r="Z47" s="61"/>
    </x:row>
    <x:row r="48">
      <x:c r="A48" s="61"/>
      <x:c r="B48" s="61"/>
      <x:c r="C48" s="61"/>
      <x:c r="D48" s="61"/>
      <x:c r="E48" s="61"/>
      <x:c r="F48" s="61"/>
      <x:c r="G48" s="61"/>
      <x:c r="H48" s="61"/>
      <x:c r="I48" s="61"/>
      <x:c r="J48" s="61"/>
      <x:c r="K48" s="61"/>
      <x:c r="L48" s="61"/>
      <x:c r="M48" s="61"/>
      <x:c r="N48" s="61"/>
      <x:c r="O48" s="61"/>
      <x:c r="P48" s="61"/>
      <x:c r="Q48" s="61"/>
      <x:c r="R48" s="61"/>
      <x:c r="S48" s="61"/>
      <x:c r="T48" s="61"/>
      <x:c r="U48" s="61"/>
      <x:c r="V48" s="61"/>
      <x:c r="W48" s="61"/>
      <x:c r="X48" s="61"/>
      <x:c r="Y48" s="61"/>
      <x:c r="Z48" s="61"/>
    </x:row>
    <x:row r="49">
      <x:c r="A49" s="61"/>
      <x:c r="B49" s="61"/>
      <x:c r="C49" s="61"/>
      <x:c r="D49" s="61"/>
      <x:c r="E49" s="61"/>
      <x:c r="F49" s="61"/>
      <x:c r="G49" s="61"/>
      <x:c r="H49" s="61"/>
      <x:c r="I49" s="61"/>
      <x:c r="J49" s="61"/>
      <x:c r="K49" s="61"/>
      <x:c r="L49" s="61"/>
      <x:c r="M49" s="61"/>
      <x:c r="N49" s="61"/>
      <x:c r="O49" s="61"/>
      <x:c r="P49" s="61"/>
      <x:c r="Q49" s="61"/>
      <x:c r="R49" s="61"/>
      <x:c r="S49" s="61"/>
      <x:c r="T49" s="61"/>
      <x:c r="U49" s="61"/>
      <x:c r="V49" s="61"/>
      <x:c r="W49" s="61"/>
      <x:c r="X49" s="61"/>
      <x:c r="Y49" s="61"/>
      <x:c r="Z49" s="61"/>
    </x:row>
    <x:row r="50">
      <x:c r="A50" s="61"/>
      <x:c r="B50" s="61"/>
      <x:c r="C50" s="61"/>
      <x:c r="D50" s="61"/>
      <x:c r="E50" s="61"/>
      <x:c r="F50" s="61"/>
      <x:c r="G50" s="61"/>
      <x:c r="H50" s="61"/>
      <x:c r="I50" s="61"/>
      <x:c r="J50" s="61"/>
      <x:c r="K50" s="61"/>
      <x:c r="L50" s="61"/>
      <x:c r="M50" s="61"/>
      <x:c r="N50" s="61"/>
      <x:c r="O50" s="61"/>
      <x:c r="P50" s="61"/>
      <x:c r="Q50" s="61"/>
      <x:c r="R50" s="61"/>
      <x:c r="S50" s="61"/>
      <x:c r="T50" s="61"/>
      <x:c r="U50" s="61"/>
      <x:c r="V50" s="61"/>
      <x:c r="W50" s="61"/>
      <x:c r="X50" s="61"/>
      <x:c r="Y50" s="61"/>
      <x:c r="Z50" s="61"/>
    </x:row>
    <x:row r="51">
      <x:c r="A51" s="61"/>
      <x:c r="B51" s="61"/>
      <x:c r="C51" s="61"/>
      <x:c r="D51" s="61"/>
      <x:c r="E51" s="61"/>
      <x:c r="F51" s="61"/>
      <x:c r="G51" s="61"/>
      <x:c r="H51" s="61"/>
      <x:c r="I51" s="61"/>
      <x:c r="J51" s="61"/>
      <x:c r="K51" s="61"/>
      <x:c r="L51" s="61"/>
      <x:c r="M51" s="61"/>
      <x:c r="N51" s="61"/>
      <x:c r="O51" s="61"/>
      <x:c r="P51" s="61"/>
      <x:c r="Q51" s="61"/>
      <x:c r="R51" s="61"/>
      <x:c r="S51" s="61"/>
      <x:c r="T51" s="61"/>
      <x:c r="U51" s="61"/>
      <x:c r="V51" s="61"/>
      <x:c r="W51" s="61"/>
      <x:c r="X51" s="61"/>
      <x:c r="Y51" s="61"/>
      <x:c r="Z51" s="61"/>
    </x:row>
    <x:row r="52">
      <x:c r="A52" s="61"/>
      <x:c r="B52" s="61"/>
      <x:c r="C52" s="61"/>
      <x:c r="D52" s="61"/>
      <x:c r="E52" s="61"/>
      <x:c r="F52" s="61"/>
      <x:c r="G52" s="61"/>
      <x:c r="H52" s="61"/>
      <x:c r="I52" s="61"/>
      <x:c r="J52" s="61"/>
      <x:c r="K52" s="61"/>
      <x:c r="L52" s="61"/>
      <x:c r="M52" s="61"/>
      <x:c r="N52" s="61"/>
      <x:c r="O52" s="61"/>
      <x:c r="P52" s="61"/>
      <x:c r="Q52" s="61"/>
      <x:c r="R52" s="61"/>
      <x:c r="S52" s="61"/>
      <x:c r="T52" s="61"/>
      <x:c r="U52" s="61"/>
      <x:c r="V52" s="61"/>
      <x:c r="W52" s="61"/>
      <x:c r="X52" s="61"/>
      <x:c r="Y52" s="61"/>
      <x:c r="Z52" s="61"/>
    </x:row>
    <x:row r="53">
      <x:c r="A53" s="61"/>
      <x:c r="B53" s="61"/>
      <x:c r="C53" s="61"/>
      <x:c r="D53" s="61"/>
      <x:c r="E53" s="61"/>
      <x:c r="F53" s="61"/>
      <x:c r="G53" s="61"/>
      <x:c r="H53" s="61"/>
      <x:c r="I53" s="61"/>
      <x:c r="J53" s="61"/>
      <x:c r="K53" s="61"/>
      <x:c r="L53" s="61"/>
      <x:c r="M53" s="61"/>
      <x:c r="N53" s="61"/>
      <x:c r="O53" s="61"/>
      <x:c r="P53" s="61"/>
      <x:c r="Q53" s="61"/>
      <x:c r="R53" s="61"/>
      <x:c r="S53" s="61"/>
      <x:c r="T53" s="61"/>
      <x:c r="U53" s="61"/>
      <x:c r="V53" s="61"/>
      <x:c r="W53" s="61"/>
      <x:c r="X53" s="61"/>
      <x:c r="Y53" s="61"/>
      <x:c r="Z53" s="61"/>
    </x:row>
    <x:row r="54">
      <x:c r="A54" s="61"/>
      <x:c r="B54" s="61"/>
      <x:c r="C54" s="61"/>
      <x:c r="D54" s="61"/>
      <x:c r="E54" s="61"/>
      <x:c r="F54" s="61"/>
      <x:c r="G54" s="61"/>
      <x:c r="H54" s="61"/>
      <x:c r="I54" s="61"/>
      <x:c r="J54" s="61"/>
      <x:c r="K54" s="61"/>
      <x:c r="L54" s="61"/>
      <x:c r="M54" s="61"/>
      <x:c r="N54" s="61"/>
      <x:c r="O54" s="61"/>
      <x:c r="P54" s="61"/>
      <x:c r="Q54" s="61"/>
      <x:c r="R54" s="61"/>
      <x:c r="S54" s="61"/>
      <x:c r="T54" s="61"/>
      <x:c r="U54" s="61"/>
      <x:c r="V54" s="61"/>
      <x:c r="W54" s="61"/>
      <x:c r="X54" s="61"/>
      <x:c r="Y54" s="61"/>
      <x:c r="Z54" s="61"/>
    </x:row>
    <x:row r="55">
      <x:c r="A55" s="61"/>
      <x:c r="B55" s="61"/>
      <x:c r="C55" s="61"/>
      <x:c r="D55" s="61"/>
      <x:c r="E55" s="61"/>
      <x:c r="F55" s="61"/>
      <x:c r="G55" s="61"/>
      <x:c r="H55" s="61"/>
      <x:c r="I55" s="61"/>
      <x:c r="J55" s="61"/>
      <x:c r="K55" s="61"/>
      <x:c r="L55" s="61"/>
      <x:c r="M55" s="61"/>
      <x:c r="N55" s="61"/>
      <x:c r="O55" s="61"/>
      <x:c r="P55" s="61"/>
      <x:c r="Q55" s="61"/>
      <x:c r="R55" s="61"/>
      <x:c r="S55" s="61"/>
      <x:c r="T55" s="61"/>
      <x:c r="U55" s="61"/>
      <x:c r="V55" s="61"/>
      <x:c r="W55" s="61"/>
      <x:c r="X55" s="61"/>
      <x:c r="Y55" s="61"/>
      <x:c r="Z55" s="61"/>
    </x:row>
    <x:row r="56">
      <x:c r="A56" s="61"/>
      <x:c r="B56" s="61"/>
      <x:c r="C56" s="61"/>
      <x:c r="D56" s="61"/>
      <x:c r="E56" s="61"/>
      <x:c r="F56" s="61"/>
      <x:c r="G56" s="61"/>
      <x:c r="H56" s="61"/>
      <x:c r="I56" s="61"/>
      <x:c r="J56" s="61"/>
      <x:c r="K56" s="61"/>
      <x:c r="L56" s="61"/>
      <x:c r="M56" s="61"/>
      <x:c r="N56" s="61"/>
      <x:c r="O56" s="61"/>
      <x:c r="P56" s="61"/>
      <x:c r="Q56" s="61"/>
      <x:c r="R56" s="61"/>
      <x:c r="S56" s="61"/>
      <x:c r="T56" s="61"/>
      <x:c r="U56" s="61"/>
      <x:c r="V56" s="61"/>
      <x:c r="W56" s="61"/>
      <x:c r="X56" s="61"/>
      <x:c r="Y56" s="61"/>
      <x:c r="Z56" s="61"/>
    </x:row>
    <x:row r="57">
      <x:c r="A57" s="61"/>
      <x:c r="B57" s="61"/>
      <x:c r="C57" s="61"/>
      <x:c r="D57" s="61"/>
      <x:c r="E57" s="61"/>
      <x:c r="F57" s="61"/>
      <x:c r="G57" s="61"/>
      <x:c r="H57" s="61"/>
      <x:c r="I57" s="61"/>
      <x:c r="J57" s="61"/>
      <x:c r="K57" s="61"/>
      <x:c r="L57" s="61"/>
      <x:c r="M57" s="61"/>
      <x:c r="N57" s="61"/>
      <x:c r="O57" s="61"/>
      <x:c r="P57" s="61"/>
      <x:c r="Q57" s="61"/>
      <x:c r="R57" s="61"/>
      <x:c r="S57" s="61"/>
      <x:c r="T57" s="61"/>
      <x:c r="U57" s="61"/>
      <x:c r="V57" s="61"/>
      <x:c r="W57" s="61"/>
      <x:c r="X57" s="61"/>
      <x:c r="Y57" s="61"/>
      <x:c r="Z57" s="61"/>
    </x:row>
    <x:row r="58">
      <x:c r="A58" s="61"/>
      <x:c r="B58" s="61"/>
      <x:c r="C58" s="61"/>
      <x:c r="D58" s="61"/>
      <x:c r="E58" s="61"/>
      <x:c r="F58" s="61"/>
      <x:c r="G58" s="61"/>
      <x:c r="H58" s="61"/>
      <x:c r="I58" s="61"/>
      <x:c r="J58" s="61"/>
      <x:c r="K58" s="61"/>
      <x:c r="L58" s="61"/>
      <x:c r="M58" s="61"/>
      <x:c r="N58" s="61"/>
      <x:c r="O58" s="61"/>
      <x:c r="P58" s="61"/>
      <x:c r="Q58" s="61"/>
      <x:c r="R58" s="61"/>
      <x:c r="S58" s="61"/>
      <x:c r="T58" s="61"/>
      <x:c r="U58" s="61"/>
      <x:c r="V58" s="61"/>
      <x:c r="W58" s="61"/>
      <x:c r="X58" s="61"/>
      <x:c r="Y58" s="61"/>
      <x:c r="Z58" s="61"/>
    </x:row>
    <x:row r="59">
      <x:c r="A59" s="61"/>
      <x:c r="B59" s="61"/>
      <x:c r="C59" s="61"/>
      <x:c r="D59" s="61"/>
      <x:c r="E59" s="61"/>
      <x:c r="F59" s="61"/>
      <x:c r="G59" s="61"/>
      <x:c r="H59" s="61"/>
      <x:c r="I59" s="61"/>
      <x:c r="J59" s="61"/>
      <x:c r="K59" s="61"/>
      <x:c r="L59" s="61"/>
      <x:c r="M59" s="61"/>
      <x:c r="N59" s="61"/>
      <x:c r="O59" s="61"/>
      <x:c r="P59" s="61"/>
      <x:c r="Q59" s="61"/>
      <x:c r="R59" s="61"/>
      <x:c r="S59" s="61"/>
      <x:c r="T59" s="61"/>
      <x:c r="U59" s="61"/>
      <x:c r="V59" s="61"/>
      <x:c r="W59" s="61"/>
      <x:c r="X59" s="61"/>
      <x:c r="Y59" s="61"/>
      <x:c r="Z59" s="61"/>
    </x:row>
    <x:row r="60">
      <x:c r="A60" s="61"/>
      <x:c r="B60" s="61"/>
      <x:c r="C60" s="61"/>
      <x:c r="D60" s="61"/>
      <x:c r="E60" s="61"/>
      <x:c r="F60" s="61"/>
      <x:c r="G60" s="61"/>
      <x:c r="H60" s="61"/>
      <x:c r="I60" s="61"/>
      <x:c r="J60" s="61"/>
      <x:c r="K60" s="61"/>
      <x:c r="L60" s="61"/>
      <x:c r="M60" s="61"/>
      <x:c r="N60" s="61"/>
      <x:c r="O60" s="61"/>
      <x:c r="P60" s="61"/>
      <x:c r="Q60" s="61"/>
      <x:c r="R60" s="61"/>
      <x:c r="S60" s="61"/>
      <x:c r="T60" s="61"/>
      <x:c r="U60" s="61"/>
      <x:c r="V60" s="61"/>
      <x:c r="W60" s="61"/>
      <x:c r="X60" s="61"/>
      <x:c r="Y60" s="61"/>
      <x:c r="Z60" s="61"/>
    </x:row>
    <x:row r="61">
      <x:c r="A61" s="61"/>
      <x:c r="B61" s="61"/>
      <x:c r="C61" s="61"/>
      <x:c r="D61" s="61"/>
      <x:c r="E61" s="61"/>
      <x:c r="F61" s="61"/>
      <x:c r="G61" s="61"/>
      <x:c r="H61" s="61"/>
      <x:c r="I61" s="61"/>
      <x:c r="J61" s="61"/>
      <x:c r="K61" s="61"/>
      <x:c r="L61" s="61"/>
      <x:c r="M61" s="61"/>
      <x:c r="N61" s="61"/>
      <x:c r="O61" s="61"/>
      <x:c r="P61" s="61"/>
      <x:c r="Q61" s="61"/>
      <x:c r="R61" s="61"/>
      <x:c r="S61" s="61"/>
      <x:c r="T61" s="61"/>
      <x:c r="U61" s="61"/>
      <x:c r="V61" s="61"/>
      <x:c r="W61" s="61"/>
      <x:c r="X61" s="61"/>
      <x:c r="Y61" s="61"/>
      <x:c r="Z61" s="61"/>
    </x:row>
    <x:row r="62">
      <x:c r="A62" s="61"/>
      <x:c r="B62" s="61"/>
      <x:c r="C62" s="61"/>
      <x:c r="D62" s="61"/>
      <x:c r="E62" s="61"/>
      <x:c r="F62" s="61"/>
      <x:c r="G62" s="61"/>
      <x:c r="H62" s="61"/>
      <x:c r="I62" s="61"/>
      <x:c r="J62" s="61"/>
      <x:c r="K62" s="61"/>
      <x:c r="L62" s="61"/>
      <x:c r="M62" s="61"/>
      <x:c r="N62" s="61"/>
      <x:c r="O62" s="61"/>
      <x:c r="P62" s="61"/>
      <x:c r="Q62" s="61"/>
      <x:c r="R62" s="61"/>
      <x:c r="S62" s="61"/>
      <x:c r="T62" s="61"/>
      <x:c r="U62" s="61"/>
      <x:c r="V62" s="61"/>
      <x:c r="W62" s="61"/>
      <x:c r="X62" s="61"/>
      <x:c r="Y62" s="61"/>
      <x:c r="Z62" s="61"/>
    </x:row>
    <x:row r="63">
      <x:c r="A63" s="61"/>
      <x:c r="B63" s="61"/>
      <x:c r="C63" s="61"/>
      <x:c r="D63" s="61"/>
      <x:c r="E63" s="61"/>
      <x:c r="F63" s="61"/>
      <x:c r="G63" s="61"/>
      <x:c r="H63" s="61"/>
      <x:c r="I63" s="61"/>
      <x:c r="J63" s="61"/>
      <x:c r="K63" s="61"/>
      <x:c r="L63" s="61"/>
      <x:c r="M63" s="61"/>
      <x:c r="N63" s="61"/>
      <x:c r="O63" s="61"/>
      <x:c r="P63" s="61"/>
      <x:c r="Q63" s="61"/>
      <x:c r="R63" s="61"/>
      <x:c r="S63" s="61"/>
      <x:c r="T63" s="61"/>
      <x:c r="U63" s="61"/>
      <x:c r="V63" s="61"/>
      <x:c r="W63" s="61"/>
      <x:c r="X63" s="61"/>
      <x:c r="Y63" s="61"/>
      <x:c r="Z63" s="61"/>
    </x:row>
    <x:row r="64">
      <x:c r="A64" s="61"/>
      <x:c r="B64" s="61"/>
      <x:c r="C64" s="61"/>
      <x:c r="D64" s="61"/>
      <x:c r="E64" s="61"/>
      <x:c r="F64" s="61"/>
      <x:c r="G64" s="61"/>
      <x:c r="H64" s="61"/>
      <x:c r="I64" s="61"/>
      <x:c r="J64" s="61"/>
      <x:c r="K64" s="61"/>
      <x:c r="L64" s="61"/>
      <x:c r="M64" s="61"/>
      <x:c r="N64" s="61"/>
      <x:c r="O64" s="61"/>
      <x:c r="P64" s="61"/>
      <x:c r="Q64" s="61"/>
      <x:c r="R64" s="61"/>
      <x:c r="S64" s="61"/>
      <x:c r="T64" s="61"/>
      <x:c r="U64" s="61"/>
      <x:c r="V64" s="61"/>
      <x:c r="W64" s="61"/>
      <x:c r="X64" s="61"/>
      <x:c r="Y64" s="61"/>
      <x:c r="Z64" s="61"/>
    </x:row>
    <x:row r="65">
      <x:c r="A65" s="61"/>
      <x:c r="B65" s="61"/>
      <x:c r="C65" s="61"/>
      <x:c r="D65" s="61"/>
      <x:c r="E65" s="61"/>
      <x:c r="F65" s="61"/>
      <x:c r="G65" s="61"/>
      <x:c r="H65" s="61"/>
      <x:c r="I65" s="61"/>
      <x:c r="J65" s="61"/>
      <x:c r="K65" s="61"/>
      <x:c r="L65" s="61"/>
      <x:c r="M65" s="61"/>
      <x:c r="N65" s="61"/>
      <x:c r="O65" s="61"/>
      <x:c r="P65" s="61"/>
      <x:c r="Q65" s="61"/>
      <x:c r="R65" s="61"/>
      <x:c r="S65" s="61"/>
      <x:c r="T65" s="61"/>
      <x:c r="U65" s="61"/>
      <x:c r="V65" s="61"/>
      <x:c r="W65" s="61"/>
      <x:c r="X65" s="61"/>
      <x:c r="Y65" s="61"/>
      <x:c r="Z65" s="61"/>
    </x:row>
    <x:row r="66">
      <x:c r="A66" s="61"/>
      <x:c r="B66" s="61"/>
      <x:c r="C66" s="61"/>
      <x:c r="D66" s="61"/>
      <x:c r="E66" s="61"/>
      <x:c r="F66" s="61"/>
      <x:c r="G66" s="61"/>
      <x:c r="H66" s="61"/>
      <x:c r="I66" s="61"/>
      <x:c r="J66" s="61"/>
      <x:c r="K66" s="61"/>
      <x:c r="L66" s="61"/>
      <x:c r="M66" s="61"/>
      <x:c r="N66" s="61"/>
      <x:c r="O66" s="61"/>
      <x:c r="P66" s="61"/>
      <x:c r="Q66" s="61"/>
      <x:c r="R66" s="61"/>
      <x:c r="S66" s="61"/>
      <x:c r="T66" s="61"/>
      <x:c r="U66" s="61"/>
      <x:c r="V66" s="61"/>
      <x:c r="W66" s="61"/>
      <x:c r="X66" s="61"/>
      <x:c r="Y66" s="61"/>
      <x:c r="Z66" s="61"/>
    </x:row>
    <x:row r="67">
      <x:c r="A67" s="61"/>
      <x:c r="B67" s="61"/>
      <x:c r="C67" s="61"/>
      <x:c r="D67" s="61"/>
      <x:c r="E67" s="61"/>
      <x:c r="F67" s="61"/>
      <x:c r="G67" s="61"/>
      <x:c r="H67" s="61"/>
      <x:c r="I67" s="61"/>
      <x:c r="J67" s="61"/>
      <x:c r="K67" s="61"/>
      <x:c r="L67" s="61"/>
      <x:c r="M67" s="61"/>
      <x:c r="N67" s="61"/>
      <x:c r="O67" s="61"/>
      <x:c r="P67" s="61"/>
      <x:c r="Q67" s="61"/>
      <x:c r="R67" s="61"/>
      <x:c r="S67" s="61"/>
      <x:c r="T67" s="61"/>
      <x:c r="U67" s="61"/>
      <x:c r="V67" s="61"/>
      <x:c r="W67" s="61"/>
      <x:c r="X67" s="61"/>
      <x:c r="Y67" s="61"/>
      <x:c r="Z67" s="61"/>
    </x:row>
    <x:row r="68">
      <x:c r="A68" s="61"/>
      <x:c r="B68" s="61"/>
      <x:c r="C68" s="61"/>
      <x:c r="D68" s="61"/>
      <x:c r="E68" s="61"/>
      <x:c r="F68" s="61"/>
      <x:c r="G68" s="61"/>
      <x:c r="H68" s="61"/>
      <x:c r="I68" s="61"/>
      <x:c r="J68" s="61"/>
      <x:c r="K68" s="61"/>
      <x:c r="L68" s="61"/>
      <x:c r="M68" s="61"/>
      <x:c r="N68" s="61"/>
      <x:c r="O68" s="61"/>
      <x:c r="P68" s="61"/>
      <x:c r="Q68" s="61"/>
      <x:c r="R68" s="61"/>
      <x:c r="S68" s="61"/>
      <x:c r="T68" s="61"/>
      <x:c r="U68" s="61"/>
      <x:c r="V68" s="61"/>
      <x:c r="W68" s="61"/>
      <x:c r="X68" s="61"/>
      <x:c r="Y68" s="61"/>
      <x:c r="Z68" s="61"/>
    </x:row>
    <x:row r="69">
      <x:c r="A69" s="61"/>
      <x:c r="B69" s="61"/>
      <x:c r="C69" s="61"/>
      <x:c r="D69" s="61"/>
      <x:c r="E69" s="61"/>
      <x:c r="F69" s="61"/>
      <x:c r="G69" s="61"/>
      <x:c r="H69" s="61"/>
      <x:c r="I69" s="61"/>
      <x:c r="J69" s="61"/>
      <x:c r="K69" s="61"/>
      <x:c r="L69" s="61"/>
      <x:c r="M69" s="61"/>
      <x:c r="N69" s="61"/>
      <x:c r="O69" s="61"/>
      <x:c r="P69" s="61"/>
      <x:c r="Q69" s="61"/>
      <x:c r="R69" s="61"/>
      <x:c r="S69" s="61"/>
      <x:c r="T69" s="61"/>
      <x:c r="U69" s="61"/>
      <x:c r="V69" s="61"/>
      <x:c r="W69" s="61"/>
      <x:c r="X69" s="61"/>
      <x:c r="Y69" s="61"/>
      <x:c r="Z69" s="61"/>
    </x:row>
    <x:row r="70">
      <x:c r="A70" s="61"/>
      <x:c r="B70" s="61"/>
      <x:c r="C70" s="61"/>
      <x:c r="D70" s="61"/>
      <x:c r="E70" s="61"/>
      <x:c r="F70" s="61"/>
      <x:c r="G70" s="61"/>
      <x:c r="H70" s="61"/>
      <x:c r="I70" s="61"/>
      <x:c r="J70" s="61"/>
      <x:c r="K70" s="61"/>
      <x:c r="L70" s="61"/>
      <x:c r="M70" s="61"/>
      <x:c r="N70" s="61"/>
      <x:c r="O70" s="61"/>
      <x:c r="P70" s="61"/>
      <x:c r="Q70" s="61"/>
      <x:c r="R70" s="61"/>
      <x:c r="S70" s="61"/>
      <x:c r="T70" s="61"/>
      <x:c r="U70" s="61"/>
      <x:c r="V70" s="61"/>
      <x:c r="W70" s="61"/>
      <x:c r="X70" s="61"/>
      <x:c r="Y70" s="61"/>
      <x:c r="Z70" s="61"/>
    </x:row>
    <x:row r="71">
      <x:c r="A71" s="61"/>
      <x:c r="B71" s="61"/>
      <x:c r="C71" s="61"/>
      <x:c r="D71" s="61"/>
      <x:c r="E71" s="61"/>
      <x:c r="F71" s="61"/>
      <x:c r="G71" s="61"/>
      <x:c r="H71" s="61"/>
      <x:c r="I71" s="61"/>
      <x:c r="J71" s="61"/>
      <x:c r="K71" s="61"/>
      <x:c r="L71" s="61"/>
      <x:c r="M71" s="61"/>
      <x:c r="N71" s="61"/>
      <x:c r="O71" s="61"/>
      <x:c r="P71" s="61"/>
      <x:c r="Q71" s="61"/>
      <x:c r="R71" s="61"/>
      <x:c r="S71" s="61"/>
      <x:c r="T71" s="61"/>
      <x:c r="U71" s="61"/>
      <x:c r="V71" s="61"/>
      <x:c r="W71" s="61"/>
      <x:c r="X71" s="61"/>
      <x:c r="Y71" s="61"/>
      <x:c r="Z71" s="61"/>
    </x:row>
    <x:row r="72">
      <x:c r="A72" s="61"/>
      <x:c r="B72" s="61"/>
      <x:c r="C72" s="61"/>
      <x:c r="D72" s="61"/>
      <x:c r="E72" s="61"/>
      <x:c r="F72" s="61"/>
      <x:c r="G72" s="61"/>
      <x:c r="H72" s="61"/>
      <x:c r="I72" s="61"/>
      <x:c r="J72" s="61"/>
      <x:c r="K72" s="61"/>
      <x:c r="L72" s="61"/>
      <x:c r="M72" s="61"/>
      <x:c r="N72" s="61"/>
      <x:c r="O72" s="61"/>
      <x:c r="P72" s="61"/>
      <x:c r="Q72" s="61"/>
      <x:c r="R72" s="61"/>
      <x:c r="S72" s="61"/>
      <x:c r="T72" s="61"/>
      <x:c r="U72" s="61"/>
      <x:c r="V72" s="61"/>
      <x:c r="W72" s="61"/>
      <x:c r="X72" s="61"/>
      <x:c r="Y72" s="61"/>
      <x:c r="Z72" s="61"/>
    </x:row>
    <x:row r="73">
      <x:c r="A73" s="61"/>
      <x:c r="B73" s="61"/>
      <x:c r="C73" s="61"/>
      <x:c r="D73" s="61"/>
      <x:c r="E73" s="61"/>
      <x:c r="F73" s="61"/>
      <x:c r="G73" s="61"/>
      <x:c r="H73" s="61"/>
      <x:c r="I73" s="61"/>
      <x:c r="J73" s="61"/>
      <x:c r="K73" s="61"/>
      <x:c r="L73" s="61"/>
      <x:c r="M73" s="61"/>
      <x:c r="N73" s="61"/>
      <x:c r="O73" s="61"/>
      <x:c r="P73" s="61"/>
      <x:c r="Q73" s="61"/>
      <x:c r="R73" s="61"/>
      <x:c r="S73" s="61"/>
      <x:c r="T73" s="61"/>
      <x:c r="U73" s="61"/>
      <x:c r="V73" s="61"/>
      <x:c r="W73" s="61"/>
      <x:c r="X73" s="61"/>
      <x:c r="Y73" s="61"/>
      <x:c r="Z73" s="61"/>
    </x:row>
    <x:row r="74">
      <x:c r="A74" s="61"/>
      <x:c r="B74" s="61"/>
      <x:c r="C74" s="61"/>
      <x:c r="D74" s="61"/>
      <x:c r="E74" s="61"/>
      <x:c r="F74" s="61"/>
      <x:c r="G74" s="61"/>
      <x:c r="H74" s="61"/>
      <x:c r="I74" s="61"/>
      <x:c r="J74" s="61"/>
      <x:c r="K74" s="61"/>
      <x:c r="L74" s="61"/>
      <x:c r="M74" s="61"/>
      <x:c r="N74" s="61"/>
      <x:c r="O74" s="61"/>
      <x:c r="P74" s="61"/>
      <x:c r="Q74" s="61"/>
      <x:c r="R74" s="61"/>
      <x:c r="S74" s="61"/>
      <x:c r="T74" s="61"/>
      <x:c r="U74" s="61"/>
      <x:c r="V74" s="61"/>
      <x:c r="W74" s="61"/>
      <x:c r="X74" s="61"/>
      <x:c r="Y74" s="61"/>
      <x:c r="Z74" s="61"/>
    </x:row>
    <x:row r="75">
      <x:c r="A75" s="61"/>
      <x:c r="B75" s="61"/>
      <x:c r="C75" s="61"/>
      <x:c r="D75" s="61"/>
      <x:c r="E75" s="61"/>
      <x:c r="F75" s="61"/>
      <x:c r="G75" s="61"/>
      <x:c r="H75" s="61"/>
      <x:c r="I75" s="61"/>
      <x:c r="J75" s="61"/>
      <x:c r="K75" s="61"/>
      <x:c r="L75" s="61"/>
      <x:c r="M75" s="61"/>
      <x:c r="N75" s="61"/>
      <x:c r="O75" s="61"/>
      <x:c r="P75" s="61"/>
      <x:c r="Q75" s="61"/>
      <x:c r="R75" s="61"/>
      <x:c r="S75" s="61"/>
      <x:c r="T75" s="61"/>
      <x:c r="U75" s="61"/>
      <x:c r="V75" s="61"/>
      <x:c r="W75" s="61"/>
      <x:c r="X75" s="61"/>
      <x:c r="Y75" s="61"/>
      <x:c r="Z75" s="61"/>
    </x:row>
    <x:row r="76">
      <x:c r="A76" s="61"/>
      <x:c r="B76" s="61"/>
      <x:c r="C76" s="61"/>
      <x:c r="D76" s="61"/>
      <x:c r="E76" s="61"/>
      <x:c r="F76" s="61"/>
      <x:c r="G76" s="61"/>
      <x:c r="H76" s="61"/>
      <x:c r="I76" s="61"/>
      <x:c r="J76" s="61"/>
      <x:c r="K76" s="61"/>
      <x:c r="L76" s="61"/>
      <x:c r="M76" s="61"/>
      <x:c r="N76" s="61"/>
      <x:c r="O76" s="61"/>
      <x:c r="P76" s="61"/>
      <x:c r="Q76" s="61"/>
      <x:c r="R76" s="61"/>
      <x:c r="S76" s="61"/>
      <x:c r="T76" s="61"/>
      <x:c r="U76" s="61"/>
      <x:c r="V76" s="61"/>
      <x:c r="W76" s="61"/>
      <x:c r="X76" s="61"/>
      <x:c r="Y76" s="61"/>
      <x:c r="Z76" s="61"/>
    </x:row>
    <x:row r="77">
      <x:c r="A77" s="61"/>
      <x:c r="B77" s="61"/>
      <x:c r="C77" s="61"/>
      <x:c r="D77" s="61"/>
      <x:c r="E77" s="61"/>
      <x:c r="F77" s="61"/>
      <x:c r="G77" s="61"/>
      <x:c r="H77" s="61"/>
      <x:c r="I77" s="61"/>
      <x:c r="J77" s="61"/>
      <x:c r="K77" s="61"/>
      <x:c r="L77" s="61"/>
      <x:c r="M77" s="61"/>
      <x:c r="N77" s="61"/>
      <x:c r="O77" s="61"/>
      <x:c r="P77" s="61"/>
      <x:c r="Q77" s="61"/>
      <x:c r="R77" s="61"/>
      <x:c r="S77" s="61"/>
      <x:c r="T77" s="61"/>
      <x:c r="U77" s="61"/>
      <x:c r="V77" s="61"/>
      <x:c r="W77" s="61"/>
      <x:c r="X77" s="61"/>
      <x:c r="Y77" s="61"/>
      <x:c r="Z77" s="61"/>
    </x:row>
    <x:row r="78">
      <x:c r="A78" s="61"/>
      <x:c r="B78" s="61"/>
      <x:c r="C78" s="61"/>
      <x:c r="D78" s="61"/>
      <x:c r="E78" s="61"/>
      <x:c r="F78" s="61"/>
      <x:c r="G78" s="61"/>
      <x:c r="H78" s="61"/>
      <x:c r="I78" s="61"/>
      <x:c r="J78" s="61"/>
      <x:c r="K78" s="61"/>
      <x:c r="L78" s="61"/>
      <x:c r="M78" s="61"/>
      <x:c r="N78" s="61"/>
      <x:c r="O78" s="61"/>
      <x:c r="P78" s="61"/>
      <x:c r="Q78" s="61"/>
      <x:c r="R78" s="61"/>
      <x:c r="S78" s="61"/>
      <x:c r="T78" s="61"/>
      <x:c r="U78" s="61"/>
      <x:c r="V78" s="61"/>
      <x:c r="W78" s="61"/>
      <x:c r="X78" s="61"/>
      <x:c r="Y78" s="61"/>
      <x:c r="Z78" s="61"/>
    </x:row>
    <x:row r="79">
      <x:c r="A79" s="61"/>
      <x:c r="B79" s="61"/>
      <x:c r="C79" s="61"/>
      <x:c r="D79" s="61"/>
      <x:c r="E79" s="61"/>
      <x:c r="F79" s="61"/>
      <x:c r="G79" s="61"/>
      <x:c r="H79" s="61"/>
      <x:c r="I79" s="61"/>
      <x:c r="J79" s="61"/>
      <x:c r="K79" s="61"/>
      <x:c r="L79" s="61"/>
      <x:c r="M79" s="61"/>
      <x:c r="N79" s="61"/>
      <x:c r="O79" s="61"/>
      <x:c r="P79" s="61"/>
      <x:c r="Q79" s="61"/>
      <x:c r="R79" s="61"/>
      <x:c r="S79" s="61"/>
      <x:c r="T79" s="61"/>
      <x:c r="U79" s="61"/>
      <x:c r="V79" s="61"/>
      <x:c r="W79" s="61"/>
      <x:c r="X79" s="61"/>
      <x:c r="Y79" s="61"/>
      <x:c r="Z79" s="61"/>
    </x:row>
    <x:row r="80">
      <x:c r="A80" s="61"/>
      <x:c r="B80" s="61"/>
      <x:c r="C80" s="61"/>
      <x:c r="D80" s="61"/>
      <x:c r="E80" s="61"/>
      <x:c r="F80" s="61"/>
      <x:c r="G80" s="61"/>
      <x:c r="H80" s="61"/>
      <x:c r="I80" s="61"/>
      <x:c r="J80" s="61"/>
      <x:c r="K80" s="61"/>
      <x:c r="L80" s="61"/>
      <x:c r="M80" s="61"/>
      <x:c r="N80" s="61"/>
      <x:c r="O80" s="61"/>
      <x:c r="P80" s="61"/>
      <x:c r="Q80" s="61"/>
      <x:c r="R80" s="61"/>
      <x:c r="S80" s="61"/>
      <x:c r="T80" s="61"/>
      <x:c r="U80" s="61"/>
      <x:c r="V80" s="61"/>
      <x:c r="W80" s="61"/>
      <x:c r="X80" s="61"/>
      <x:c r="Y80" s="61"/>
      <x:c r="Z80" s="61"/>
    </x:row>
    <x:row r="81">
      <x:c r="A81" s="61"/>
      <x:c r="B81" s="61"/>
      <x:c r="C81" s="61"/>
      <x:c r="D81" s="61"/>
      <x:c r="E81" s="61"/>
      <x:c r="F81" s="61"/>
      <x:c r="G81" s="61"/>
      <x:c r="H81" s="61"/>
      <x:c r="I81" s="61"/>
      <x:c r="J81" s="61"/>
      <x:c r="K81" s="61"/>
      <x:c r="L81" s="61"/>
      <x:c r="M81" s="61"/>
      <x:c r="N81" s="61"/>
      <x:c r="O81" s="61"/>
      <x:c r="P81" s="61"/>
      <x:c r="Q81" s="61"/>
      <x:c r="R81" s="61"/>
      <x:c r="S81" s="61"/>
      <x:c r="T81" s="61"/>
      <x:c r="U81" s="61"/>
      <x:c r="V81" s="61"/>
      <x:c r="W81" s="61"/>
      <x:c r="X81" s="61"/>
      <x:c r="Y81" s="61"/>
      <x:c r="Z81" s="61"/>
    </x:row>
    <x:row r="82">
      <x:c r="A82" s="61"/>
      <x:c r="B82" s="61"/>
      <x:c r="C82" s="61"/>
      <x:c r="D82" s="61"/>
      <x:c r="E82" s="61"/>
      <x:c r="F82" s="61"/>
      <x:c r="G82" s="61"/>
      <x:c r="H82" s="61"/>
      <x:c r="I82" s="61"/>
      <x:c r="J82" s="61"/>
      <x:c r="K82" s="61"/>
      <x:c r="L82" s="61"/>
      <x:c r="M82" s="61"/>
      <x:c r="N82" s="61"/>
      <x:c r="O82" s="61"/>
      <x:c r="P82" s="61"/>
      <x:c r="Q82" s="61"/>
      <x:c r="R82" s="61"/>
      <x:c r="S82" s="61"/>
      <x:c r="T82" s="61"/>
      <x:c r="U82" s="61"/>
      <x:c r="V82" s="61"/>
      <x:c r="W82" s="61"/>
      <x:c r="X82" s="61"/>
      <x:c r="Y82" s="61"/>
      <x:c r="Z82" s="61"/>
    </x:row>
    <x:row r="83">
      <x:c r="A83" s="61"/>
      <x:c r="B83" s="61"/>
      <x:c r="C83" s="61"/>
      <x:c r="D83" s="61"/>
      <x:c r="E83" s="61"/>
      <x:c r="F83" s="61"/>
      <x:c r="G83" s="61"/>
      <x:c r="H83" s="61"/>
      <x:c r="I83" s="61"/>
      <x:c r="J83" s="61"/>
      <x:c r="K83" s="61"/>
      <x:c r="L83" s="61"/>
      <x:c r="M83" s="61"/>
      <x:c r="N83" s="61"/>
      <x:c r="O83" s="61"/>
      <x:c r="P83" s="61"/>
      <x:c r="Q83" s="61"/>
      <x:c r="R83" s="61"/>
      <x:c r="S83" s="61"/>
      <x:c r="T83" s="61"/>
      <x:c r="U83" s="61"/>
      <x:c r="V83" s="61"/>
      <x:c r="W83" s="61"/>
      <x:c r="X83" s="61"/>
      <x:c r="Y83" s="61"/>
      <x:c r="Z83" s="61"/>
    </x:row>
    <x:row r="84">
      <x:c r="A84" s="61"/>
      <x:c r="B84" s="61"/>
      <x:c r="C84" s="61"/>
      <x:c r="D84" s="61"/>
      <x:c r="E84" s="61"/>
      <x:c r="F84" s="61"/>
      <x:c r="G84" s="61"/>
      <x:c r="H84" s="61"/>
      <x:c r="I84" s="61"/>
      <x:c r="J84" s="61"/>
      <x:c r="K84" s="61"/>
      <x:c r="L84" s="61"/>
      <x:c r="M84" s="61"/>
      <x:c r="N84" s="61"/>
      <x:c r="O84" s="61"/>
      <x:c r="P84" s="61"/>
      <x:c r="Q84" s="61"/>
      <x:c r="R84" s="61"/>
      <x:c r="S84" s="61"/>
      <x:c r="T84" s="61"/>
      <x:c r="U84" s="61"/>
      <x:c r="V84" s="61"/>
      <x:c r="W84" s="61"/>
      <x:c r="X84" s="61"/>
      <x:c r="Y84" s="61"/>
      <x:c r="Z84" s="61"/>
    </x:row>
    <x:row r="85">
      <x:c r="A85" s="61"/>
      <x:c r="B85" s="61"/>
      <x:c r="C85" s="61"/>
      <x:c r="D85" s="61"/>
      <x:c r="E85" s="61"/>
      <x:c r="F85" s="61"/>
      <x:c r="G85" s="61"/>
      <x:c r="H85" s="61"/>
      <x:c r="I85" s="61"/>
      <x:c r="J85" s="61"/>
      <x:c r="K85" s="61"/>
      <x:c r="L85" s="61"/>
      <x:c r="M85" s="61"/>
      <x:c r="N85" s="61"/>
      <x:c r="O85" s="61"/>
      <x:c r="P85" s="61"/>
      <x:c r="Q85" s="61"/>
      <x:c r="R85" s="61"/>
      <x:c r="S85" s="61"/>
      <x:c r="T85" s="61"/>
      <x:c r="U85" s="61"/>
      <x:c r="V85" s="61"/>
      <x:c r="W85" s="61"/>
      <x:c r="X85" s="61"/>
      <x:c r="Y85" s="61"/>
      <x:c r="Z85" s="61"/>
    </x:row>
    <x:row r="86">
      <x:c r="A86" s="61"/>
      <x:c r="B86" s="61"/>
      <x:c r="C86" s="61"/>
      <x:c r="D86" s="61"/>
      <x:c r="E86" s="61"/>
      <x:c r="F86" s="61"/>
      <x:c r="G86" s="61"/>
      <x:c r="H86" s="61"/>
      <x:c r="I86" s="61"/>
      <x:c r="J86" s="61"/>
      <x:c r="K86" s="61"/>
      <x:c r="L86" s="61"/>
      <x:c r="M86" s="61"/>
      <x:c r="N86" s="61"/>
      <x:c r="O86" s="61"/>
      <x:c r="P86" s="61"/>
      <x:c r="Q86" s="61"/>
      <x:c r="R86" s="61"/>
      <x:c r="S86" s="61"/>
      <x:c r="T86" s="61"/>
      <x:c r="U86" s="61"/>
      <x:c r="V86" s="61"/>
      <x:c r="W86" s="61"/>
      <x:c r="X86" s="61"/>
      <x:c r="Y86" s="61"/>
      <x:c r="Z86" s="61"/>
    </x:row>
    <x:row r="87">
      <x:c r="A87" s="61"/>
      <x:c r="B87" s="61"/>
      <x:c r="C87" s="61"/>
      <x:c r="D87" s="61"/>
      <x:c r="E87" s="61"/>
      <x:c r="F87" s="61"/>
      <x:c r="G87" s="61"/>
      <x:c r="H87" s="61"/>
      <x:c r="I87" s="61"/>
      <x:c r="J87" s="61"/>
      <x:c r="K87" s="61"/>
      <x:c r="L87" s="61"/>
      <x:c r="M87" s="61"/>
      <x:c r="N87" s="61"/>
      <x:c r="O87" s="61"/>
      <x:c r="P87" s="61"/>
      <x:c r="Q87" s="61"/>
      <x:c r="R87" s="61"/>
      <x:c r="S87" s="61"/>
      <x:c r="T87" s="61"/>
      <x:c r="U87" s="61"/>
      <x:c r="V87" s="61"/>
      <x:c r="W87" s="61"/>
      <x:c r="X87" s="61"/>
      <x:c r="Y87" s="61"/>
      <x:c r="Z87" s="61"/>
    </x:row>
    <x:row r="88">
      <x:c r="A88" s="61"/>
      <x:c r="B88" s="61"/>
      <x:c r="C88" s="61"/>
      <x:c r="D88" s="61"/>
      <x:c r="E88" s="61"/>
      <x:c r="F88" s="61"/>
      <x:c r="G88" s="61"/>
      <x:c r="H88" s="61"/>
      <x:c r="I88" s="61"/>
      <x:c r="J88" s="61"/>
      <x:c r="K88" s="61"/>
      <x:c r="L88" s="61"/>
      <x:c r="M88" s="61"/>
      <x:c r="N88" s="61"/>
      <x:c r="O88" s="61"/>
      <x:c r="P88" s="61"/>
      <x:c r="Q88" s="61"/>
      <x:c r="R88" s="61"/>
      <x:c r="S88" s="61"/>
      <x:c r="T88" s="61"/>
      <x:c r="U88" s="61"/>
      <x:c r="V88" s="61"/>
      <x:c r="W88" s="61"/>
      <x:c r="X88" s="61"/>
      <x:c r="Y88" s="61"/>
      <x:c r="Z88" s="61"/>
    </x:row>
    <x:row r="89">
      <x:c r="A89" s="61"/>
      <x:c r="B89" s="61"/>
      <x:c r="C89" s="61"/>
      <x:c r="D89" s="61"/>
      <x:c r="E89" s="61"/>
      <x:c r="F89" s="61"/>
      <x:c r="G89" s="61"/>
      <x:c r="H89" s="61"/>
      <x:c r="I89" s="61"/>
      <x:c r="J89" s="61"/>
      <x:c r="K89" s="61"/>
      <x:c r="L89" s="61"/>
      <x:c r="M89" s="61"/>
      <x:c r="N89" s="61"/>
      <x:c r="O89" s="61"/>
      <x:c r="P89" s="61"/>
      <x:c r="Q89" s="61"/>
      <x:c r="R89" s="61"/>
      <x:c r="S89" s="61"/>
      <x:c r="T89" s="61"/>
      <x:c r="U89" s="61"/>
      <x:c r="V89" s="61"/>
      <x:c r="W89" s="61"/>
      <x:c r="X89" s="61"/>
      <x:c r="Y89" s="61"/>
      <x:c r="Z89" s="61"/>
    </x:row>
    <x:row r="90">
      <x:c r="A90" s="61"/>
      <x:c r="B90" s="61"/>
      <x:c r="C90" s="61"/>
      <x:c r="D90" s="61"/>
      <x:c r="E90" s="61"/>
      <x:c r="F90" s="61"/>
      <x:c r="G90" s="61"/>
      <x:c r="H90" s="61"/>
      <x:c r="I90" s="61"/>
      <x:c r="J90" s="61"/>
      <x:c r="K90" s="61"/>
      <x:c r="L90" s="61"/>
      <x:c r="M90" s="61"/>
      <x:c r="N90" s="61"/>
      <x:c r="O90" s="61"/>
      <x:c r="P90" s="61"/>
      <x:c r="Q90" s="61"/>
      <x:c r="R90" s="61"/>
      <x:c r="S90" s="61"/>
      <x:c r="T90" s="61"/>
      <x:c r="U90" s="61"/>
      <x:c r="V90" s="61"/>
      <x:c r="W90" s="61"/>
      <x:c r="X90" s="61"/>
      <x:c r="Y90" s="61"/>
      <x:c r="Z90" s="61"/>
    </x:row>
    <x:row r="91">
      <x:c r="A91" s="61"/>
      <x:c r="B91" s="61"/>
      <x:c r="C91" s="61"/>
      <x:c r="D91" s="61"/>
      <x:c r="E91" s="61"/>
      <x:c r="F91" s="61"/>
      <x:c r="G91" s="61"/>
      <x:c r="H91" s="61"/>
      <x:c r="I91" s="61"/>
      <x:c r="J91" s="61"/>
      <x:c r="K91" s="61"/>
      <x:c r="L91" s="61"/>
      <x:c r="M91" s="61"/>
      <x:c r="N91" s="61"/>
      <x:c r="O91" s="61"/>
      <x:c r="P91" s="61"/>
      <x:c r="Q91" s="61"/>
      <x:c r="R91" s="61"/>
      <x:c r="S91" s="61"/>
      <x:c r="T91" s="61"/>
      <x:c r="U91" s="61"/>
      <x:c r="V91" s="61"/>
      <x:c r="W91" s="61"/>
      <x:c r="X91" s="61"/>
      <x:c r="Y91" s="61"/>
      <x:c r="Z91" s="61"/>
    </x:row>
    <x:row r="92">
      <x:c r="A92" s="61"/>
      <x:c r="B92" s="61"/>
      <x:c r="C92" s="61"/>
      <x:c r="D92" s="61"/>
      <x:c r="E92" s="61"/>
      <x:c r="F92" s="61"/>
      <x:c r="G92" s="61"/>
      <x:c r="H92" s="61"/>
      <x:c r="I92" s="61"/>
      <x:c r="J92" s="61"/>
      <x:c r="K92" s="61"/>
      <x:c r="L92" s="61"/>
      <x:c r="M92" s="61"/>
      <x:c r="N92" s="61"/>
      <x:c r="O92" s="61"/>
      <x:c r="P92" s="61"/>
      <x:c r="Q92" s="61"/>
      <x:c r="R92" s="61"/>
      <x:c r="S92" s="61"/>
      <x:c r="T92" s="61"/>
      <x:c r="U92" s="61"/>
      <x:c r="V92" s="61"/>
      <x:c r="W92" s="61"/>
      <x:c r="X92" s="61"/>
      <x:c r="Y92" s="61"/>
      <x:c r="Z92" s="61"/>
    </x:row>
    <x:row r="93">
      <x:c r="A93" s="61"/>
      <x:c r="B93" s="61"/>
      <x:c r="C93" s="61"/>
      <x:c r="D93" s="61"/>
      <x:c r="E93" s="61"/>
      <x:c r="F93" s="61"/>
      <x:c r="G93" s="61"/>
      <x:c r="H93" s="61"/>
      <x:c r="I93" s="61"/>
      <x:c r="J93" s="61"/>
      <x:c r="K93" s="61"/>
      <x:c r="L93" s="61"/>
      <x:c r="M93" s="61"/>
      <x:c r="N93" s="61"/>
      <x:c r="O93" s="61"/>
      <x:c r="P93" s="61"/>
      <x:c r="Q93" s="61"/>
      <x:c r="R93" s="61"/>
      <x:c r="S93" s="61"/>
      <x:c r="T93" s="61"/>
      <x:c r="U93" s="61"/>
      <x:c r="V93" s="61"/>
      <x:c r="W93" s="61"/>
      <x:c r="X93" s="61"/>
      <x:c r="Y93" s="61"/>
      <x:c r="Z93" s="61"/>
    </x:row>
    <x:row r="94">
      <x:c r="A94" s="61"/>
      <x:c r="B94" s="61"/>
      <x:c r="C94" s="61"/>
      <x:c r="D94" s="61"/>
      <x:c r="E94" s="61"/>
      <x:c r="F94" s="61"/>
      <x:c r="G94" s="61"/>
      <x:c r="H94" s="61"/>
      <x:c r="I94" s="61"/>
      <x:c r="J94" s="61"/>
      <x:c r="K94" s="61"/>
      <x:c r="L94" s="61"/>
      <x:c r="M94" s="61"/>
      <x:c r="N94" s="61"/>
      <x:c r="O94" s="61"/>
      <x:c r="P94" s="61"/>
      <x:c r="Q94" s="61"/>
      <x:c r="R94" s="61"/>
      <x:c r="S94" s="61"/>
      <x:c r="T94" s="61"/>
      <x:c r="U94" s="61"/>
      <x:c r="V94" s="61"/>
      <x:c r="W94" s="61"/>
      <x:c r="X94" s="61"/>
      <x:c r="Y94" s="61"/>
      <x:c r="Z94" s="61"/>
    </x:row>
    <x:row r="95">
      <x:c r="A95" s="61"/>
      <x:c r="B95" s="61"/>
      <x:c r="C95" s="61"/>
      <x:c r="D95" s="61"/>
      <x:c r="E95" s="61"/>
      <x:c r="F95" s="61"/>
      <x:c r="G95" s="61"/>
      <x:c r="H95" s="61"/>
      <x:c r="I95" s="61"/>
      <x:c r="J95" s="61"/>
      <x:c r="K95" s="61"/>
      <x:c r="L95" s="61"/>
      <x:c r="M95" s="61"/>
      <x:c r="N95" s="61"/>
      <x:c r="O95" s="61"/>
      <x:c r="P95" s="61"/>
      <x:c r="Q95" s="61"/>
      <x:c r="R95" s="61"/>
      <x:c r="S95" s="61"/>
      <x:c r="T95" s="61"/>
      <x:c r="U95" s="61"/>
      <x:c r="V95" s="61"/>
      <x:c r="W95" s="61"/>
      <x:c r="X95" s="61"/>
      <x:c r="Y95" s="61"/>
      <x:c r="Z95" s="61"/>
    </x:row>
    <x:row r="96">
      <x:c r="A96" s="61"/>
      <x:c r="B96" s="61"/>
      <x:c r="C96" s="61"/>
      <x:c r="D96" s="61"/>
      <x:c r="E96" s="61"/>
      <x:c r="F96" s="61"/>
      <x:c r="G96" s="61"/>
      <x:c r="H96" s="61"/>
      <x:c r="I96" s="61"/>
      <x:c r="J96" s="61"/>
      <x:c r="K96" s="61"/>
      <x:c r="L96" s="61"/>
      <x:c r="M96" s="61"/>
      <x:c r="N96" s="61"/>
      <x:c r="O96" s="61"/>
      <x:c r="P96" s="61"/>
      <x:c r="Q96" s="61"/>
      <x:c r="R96" s="61"/>
      <x:c r="S96" s="61"/>
      <x:c r="T96" s="61"/>
      <x:c r="U96" s="61"/>
      <x:c r="V96" s="61"/>
      <x:c r="W96" s="61"/>
      <x:c r="X96" s="61"/>
      <x:c r="Y96" s="61"/>
      <x:c r="Z96" s="61"/>
    </x:row>
    <x:row r="97">
      <x:c r="A97" s="61"/>
      <x:c r="B97" s="61"/>
      <x:c r="C97" s="61"/>
      <x:c r="D97" s="61"/>
      <x:c r="E97" s="61"/>
      <x:c r="F97" s="61"/>
      <x:c r="G97" s="61"/>
      <x:c r="H97" s="61"/>
      <x:c r="I97" s="61"/>
      <x:c r="J97" s="61"/>
      <x:c r="K97" s="61"/>
      <x:c r="L97" s="61"/>
      <x:c r="M97" s="61"/>
      <x:c r="N97" s="61"/>
      <x:c r="O97" s="61"/>
      <x:c r="P97" s="61"/>
      <x:c r="Q97" s="61"/>
      <x:c r="R97" s="61"/>
      <x:c r="S97" s="61"/>
      <x:c r="T97" s="61"/>
      <x:c r="U97" s="61"/>
      <x:c r="V97" s="61"/>
      <x:c r="W97" s="61"/>
      <x:c r="X97" s="61"/>
      <x:c r="Y97" s="61"/>
      <x:c r="Z97" s="61"/>
    </x:row>
    <x:row r="98">
      <x:c r="A98" s="61"/>
      <x:c r="B98" s="61"/>
      <x:c r="C98" s="61"/>
      <x:c r="D98" s="61"/>
      <x:c r="E98" s="61"/>
      <x:c r="F98" s="61"/>
      <x:c r="G98" s="61"/>
      <x:c r="H98" s="61"/>
      <x:c r="I98" s="61"/>
      <x:c r="J98" s="61"/>
      <x:c r="K98" s="61"/>
      <x:c r="L98" s="61"/>
      <x:c r="M98" s="61"/>
      <x:c r="N98" s="61"/>
      <x:c r="O98" s="61"/>
      <x:c r="P98" s="61"/>
      <x:c r="Q98" s="61"/>
      <x:c r="R98" s="61"/>
      <x:c r="S98" s="61"/>
      <x:c r="T98" s="61"/>
      <x:c r="U98" s="61"/>
      <x:c r="V98" s="61"/>
      <x:c r="W98" s="61"/>
      <x:c r="X98" s="61"/>
      <x:c r="Y98" s="61"/>
      <x:c r="Z98" s="61"/>
    </x:row>
    <x:row r="99">
      <x:c r="A99" s="61"/>
      <x:c r="B99" s="61"/>
      <x:c r="C99" s="61"/>
      <x:c r="D99" s="61"/>
      <x:c r="E99" s="61"/>
      <x:c r="F99" s="61"/>
      <x:c r="G99" s="61"/>
      <x:c r="H99" s="61"/>
      <x:c r="I99" s="61"/>
      <x:c r="J99" s="61"/>
      <x:c r="K99" s="61"/>
      <x:c r="L99" s="61"/>
      <x:c r="M99" s="61"/>
      <x:c r="N99" s="61"/>
      <x:c r="O99" s="61"/>
      <x:c r="P99" s="61"/>
      <x:c r="Q99" s="61"/>
      <x:c r="R99" s="61"/>
      <x:c r="S99" s="61"/>
      <x:c r="T99" s="61"/>
      <x:c r="U99" s="61"/>
      <x:c r="V99" s="61"/>
      <x:c r="W99" s="61"/>
      <x:c r="X99" s="61"/>
      <x:c r="Y99" s="61"/>
      <x:c r="Z99" s="61"/>
    </x:row>
    <x:row r="100">
      <x:c r="A100" s="61"/>
      <x:c r="B100" s="61"/>
      <x:c r="C100" s="61"/>
      <x:c r="D100" s="61"/>
      <x:c r="E100" s="61"/>
      <x:c r="F100" s="61"/>
      <x:c r="G100" s="61"/>
      <x:c r="H100" s="61"/>
      <x:c r="I100" s="61"/>
      <x:c r="J100" s="61"/>
      <x:c r="K100" s="61"/>
      <x:c r="L100" s="61"/>
      <x:c r="M100" s="61"/>
      <x:c r="N100" s="61"/>
      <x:c r="O100" s="61"/>
      <x:c r="P100" s="61"/>
      <x:c r="Q100" s="61"/>
      <x:c r="R100" s="61"/>
      <x:c r="S100" s="61"/>
      <x:c r="T100" s="61"/>
      <x:c r="U100" s="61"/>
      <x:c r="V100" s="61"/>
      <x:c r="W100" s="61"/>
      <x:c r="X100" s="61"/>
      <x:c r="Y100" s="61"/>
      <x:c r="Z100" s="61"/>
    </x:row>
  </x:sheetData>
  <x:mergeCells>
    <x:mergeCell ref="A1:L1"/>
    <x:mergeCell ref="A2:L2"/>
    <x:mergeCell ref="A6:L6"/>
    <x:mergeCell ref="A17:F17"/>
    <x:mergeCell ref="A18:F23"/>
  </x:mergeCells>
  <x:pageMargins left="0.7" right="0.7" top="0.75" bottom="0.75" header="0.3" footer="0.3"/>
  <x:drawing xmlns:r="http://schemas.openxmlformats.org/officeDocument/2006/relationships" r:id="R0589e6b2303241d7"/>
</x:worksheet>
</file>

<file path=xl/worksheets/sheet3.xml><?xml version="1.0" encoding="utf-8"?>
<x:worksheet xmlns:x="http://schemas.openxmlformats.org/spreadsheetml/2006/main">
  <x:sheetFormatPr defaultRowHeight="15"/>
  <x:cols>
    <x:col min="1" max="1" width="11" hidden="0" customWidth="1"/>
    <x:col min="2" max="2" width="22" hidden="0" customWidth="1"/>
    <x:col min="3" max="3" width="28" hidden="0" customWidth="1"/>
    <x:col min="4" max="4" width="28" hidden="0" customWidth="1"/>
    <x:col min="5" max="5" width="28" hidden="0" customWidth="1"/>
    <x:col min="6" max="6" width="15" hidden="0" customWidth="1"/>
    <x:col min="7" max="7" width="14" hidden="0" customWidth="1"/>
    <x:col min="8" max="8" width="14" hidden="0" customWidth="1"/>
    <x:col min="9" max="9" width="19" hidden="0" customWidth="1"/>
    <x:col min="10" max="10" width="20" hidden="0" customWidth="1"/>
    <x:col min="11" max="11" width="31" hidden="0" customWidth="1"/>
    <x:col min="12" max="12" width="31" hidden="0" customWidth="1"/>
  </x:cols>
  <x:sheetData>
    <x:row r="1">
      <x:c r="A1" s="78" t="str">
        <x:v>DUCKWORKS | OWNERSHIP, REVIEW &amp; ACCOUNTABILITY VIEW</x:v>
      </x:c>
      <x:c r="B1" s="61"/>
      <x:c r="C1" s="61"/>
      <x:c r="D1" s="61"/>
      <x:c r="E1" s="61"/>
      <x:c r="F1" s="61"/>
      <x:c r="G1" s="61"/>
      <x:c r="H1" s="61"/>
      <x:c r="I1" s="61"/>
      <x:c r="J1" s="61"/>
      <x:c r="K1" s="61"/>
      <x:c r="L1" s="61"/>
      <x:c r="M1" s="61"/>
      <x:c r="N1" s="61"/>
      <x:c r="O1" s="61"/>
      <x:c r="P1" s="61"/>
      <x:c r="Q1" s="61"/>
      <x:c r="R1" s="61"/>
      <x:c r="S1" s="61"/>
      <x:c r="T1" s="61"/>
      <x:c r="U1" s="61"/>
      <x:c r="V1" s="61"/>
      <x:c r="W1" s="61"/>
      <x:c r="X1" s="61"/>
      <x:c r="Y1" s="61"/>
      <x:c r="Z1" s="61"/>
    </x:row>
    <x:row r="2">
      <x:c r="A2" s="61"/>
      <x:c r="B2" s="61"/>
      <x:c r="C2" s="61"/>
      <x:c r="D2" s="61"/>
      <x:c r="E2" s="61"/>
      <x:c r="F2" s="61"/>
      <x:c r="G2" s="61"/>
      <x:c r="H2" s="61"/>
      <x:c r="I2" s="61"/>
      <x:c r="J2" s="61"/>
      <x:c r="K2" s="61"/>
      <x:c r="L2" s="61"/>
      <x:c r="M2" s="61"/>
      <x:c r="N2" s="61"/>
      <x:c r="O2" s="61"/>
      <x:c r="P2" s="61"/>
      <x:c r="Q2" s="61"/>
      <x:c r="R2" s="61"/>
      <x:c r="S2" s="61"/>
      <x:c r="T2" s="61"/>
      <x:c r="U2" s="61"/>
      <x:c r="V2" s="61"/>
      <x:c r="W2" s="61"/>
      <x:c r="X2" s="61"/>
      <x:c r="Y2" s="61"/>
      <x:c r="Z2" s="61"/>
    </x:row>
    <x:row r="3">
      <x:c r="A3" s="63" t="str">
        <x:v>AI ID</x:v>
      </x:c>
      <x:c r="B3" s="63" t="str">
        <x:v>System</x:v>
      </x:c>
      <x:c r="C3" s="63" t="str">
        <x:v>Business Owner</x:v>
      </x:c>
      <x:c r="D3" s="63" t="str">
        <x:v>Technical Owner</x:v>
      </x:c>
      <x:c r="E3" s="63" t="str">
        <x:v>Data Owner</x:v>
      </x:c>
      <x:c r="F3" s="63" t="str">
        <x:v>Lifecycle</x:v>
      </x:c>
      <x:c r="G3" s="63" t="str">
        <x:v>Last Review</x:v>
      </x:c>
      <x:c r="H3" s="63" t="str">
        <x:v>Next Review</x:v>
      </x:c>
      <x:c r="I3" s="63" t="str">
        <x:v>Review Status</x:v>
      </x:c>
      <x:c r="J3" s="63" t="str">
        <x:v>Approval Status</x:v>
      </x:c>
      <x:c r="K3" s="63" t="str">
        <x:v>Current Gate</x:v>
      </x:c>
      <x:c r="L3" s="63" t="str">
        <x:v>Evidence Location</x:v>
      </x:c>
      <x:c r="M3" s="61"/>
      <x:c r="N3" s="61"/>
      <x:c r="O3" s="61"/>
      <x:c r="P3" s="61"/>
      <x:c r="Q3" s="61"/>
      <x:c r="R3" s="61"/>
      <x:c r="S3" s="61"/>
      <x:c r="T3" s="61"/>
      <x:c r="U3" s="61"/>
      <x:c r="V3" s="61"/>
      <x:c r="W3" s="61"/>
      <x:c r="X3" s="61"/>
      <x:c r="Y3" s="61"/>
      <x:c r="Z3" s="61"/>
    </x:row>
    <x:row r="4">
      <x:c r="A4" s="67" t="str">
        <x:f>IF('AI Asset Inventory'!A5="","",'AI Asset Inventory'!A5)</x:f>
        <x:v>AI-001</x:v>
      </x:c>
      <x:c r="B4" s="67" t="str">
        <x:f>IF('AI Asset Inventory'!B5="","",'AI Asset Inventory'!B5)</x:f>
        <x:v>DuckDesign AI</x:v>
      </x:c>
      <x:c r="C4" s="67" t="str">
        <x:f>IF('AI Asset Inventory'!F5="","",'AI Asset Inventory'!F5)</x:f>
        <x:v>Felix Duckson — VP Product &amp; Engineering</x:v>
      </x:c>
      <x:c r="D4" s="67" t="str">
        <x:f>IF('AI Asset Inventory'!G5="","",'AI Asset Inventory'!G5)</x:f>
        <x:v>Dr. Ada Duckfield — Head of Data &amp; AI</x:v>
      </x:c>
      <x:c r="E4" s="67" t="str">
        <x:f>IF('AI Asset Inventory'!H5="","",'AI Asset Inventory'!H5)</x:f>
        <x:v>Felix Duckson — VP Product &amp; Engineering</x:v>
      </x:c>
      <x:c r="F4" s="67" t="str">
        <x:f>IF('AI Asset Inventory'!J5="","",'AI Asset Inventory'!J5)</x:f>
        <x:v>Pilot</x:v>
      </x:c>
      <x:c r="G4" s="68" t="n">
        <x:f>IF('AI Asset Inventory'!L5="","",'AI Asset Inventory'!L5)</x:f>
        <x:v>46218</x:v>
      </x:c>
      <x:c r="H4" s="68" t="n">
        <x:f>IF('AI Asset Inventory'!M5="","",'AI Asset Inventory'!M5)</x:f>
        <x:v>46310</x:v>
      </x:c>
      <x:c r="I4" s="67" t="str">
        <x:f>IF(H4="","No review date",IF(H4&lt;TODAY(),"OVERDUE",IF(H4&lt;=TODAY()+30,"Due within 30 days","Scheduled")))</x:f>
        <x:v>Scheduled</x:v>
      </x:c>
      <x:c r="J4" s="67" t="str">
        <x:f>IF('AI Asset Inventory'!AL5="","",'AI Asset Inventory'!AL5)</x:f>
        <x:v>Under Review</x:v>
      </x:c>
      <x:c r="K4" s="67" t="str">
        <x:f>IF('AI Asset Inventory'!AM5="","",'AI Asset Inventory'!AM5)</x:f>
        <x:v>Restricted pilot only</x:v>
      </x:c>
      <x:c r="L4" s="67" t="str">
        <x:f>IF('AI Asset Inventory'!AU5="","",'AI Asset Inventory'!AU5)</x:f>
        <x:v>Synthetic repository / 05-control-framework</x:v>
      </x:c>
      <x:c r="M4" s="61"/>
      <x:c r="N4" s="61"/>
      <x:c r="O4" s="61"/>
      <x:c r="P4" s="61"/>
      <x:c r="Q4" s="61"/>
      <x:c r="R4" s="61"/>
      <x:c r="S4" s="61"/>
      <x:c r="T4" s="61"/>
      <x:c r="U4" s="61"/>
      <x:c r="V4" s="61"/>
      <x:c r="W4" s="61"/>
      <x:c r="X4" s="61"/>
      <x:c r="Y4" s="61"/>
      <x:c r="Z4" s="61"/>
    </x:row>
    <x:row r="5">
      <x:c r="A5" s="67" t="str">
        <x:f>IF('AI Asset Inventory'!A6="","",'AI Asset Inventory'!A6)</x:f>
        <x:v>AI-002</x:v>
      </x:c>
      <x:c r="B5" s="67" t="str">
        <x:f>IF('AI Asset Inventory'!B6="","",'AI Asset Inventory'!B6)</x:f>
        <x:v>QuackBot</x:v>
      </x:c>
      <x:c r="C5" s="67" t="str">
        <x:f>IF('AI Asset Inventory'!F6="","",'AI Asset Inventory'!F6)</x:f>
        <x:v>Clara Duckley — Director Customer Operations</x:v>
      </x:c>
      <x:c r="D5" s="67" t="str">
        <x:f>IF('AI Asset Inventory'!G6="","",'AI Asset Inventory'!G6)</x:f>
        <x:v>Dr. Ada Duckfield — Head of Data &amp; AI</x:v>
      </x:c>
      <x:c r="E5" s="67" t="str">
        <x:f>IF('AI Asset Inventory'!H6="","",'AI Asset Inventory'!H6)</x:f>
        <x:v>Clara Duckley — Director Customer Operations</x:v>
      </x:c>
      <x:c r="F5" s="67" t="str">
        <x:f>IF('AI Asset Inventory'!J6="","",'AI Asset Inventory'!J6)</x:f>
        <x:v>Development</x:v>
      </x:c>
      <x:c r="G5" s="68" t="str">
        <x:f>IF('AI Asset Inventory'!L6="","",'AI Asset Inventory'!L6)</x:f>
      </x:c>
      <x:c r="H5" s="68" t="n">
        <x:f>IF('AI Asset Inventory'!M6="","",'AI Asset Inventory'!M6)</x:f>
        <x:v>46280</x:v>
      </x:c>
      <x:c r="I5" s="67" t="str">
        <x:f>IF(H5="","No review date",IF(H5&lt;TODAY(),"OVERDUE",IF(H5&lt;=TODAY()+30,"Due within 30 days","Scheduled")))</x:f>
        <x:v>Scheduled</x:v>
      </x:c>
      <x:c r="J5" s="67" t="str">
        <x:f>IF('AI Asset Inventory'!AL6="","",'AI Asset Inventory'!AL6)</x:f>
        <x:v>Not Submitted</x:v>
      </x:c>
      <x:c r="K5" s="67" t="str">
        <x:f>IF('AI Asset Inventory'!AM6="","",'AI Asset Inventory'!AM6)</x:f>
        <x:v>Production blocked pending gates</x:v>
      </x:c>
      <x:c r="L5" s="67" t="str">
        <x:f>IF('AI Asset Inventory'!AU6="","",'AI Asset Inventory'!AU6)</x:f>
        <x:v>Synthetic repository / 05-control-framework</x:v>
      </x:c>
      <x:c r="M5" s="61"/>
      <x:c r="N5" s="61"/>
      <x:c r="O5" s="61"/>
      <x:c r="P5" s="61"/>
      <x:c r="Q5" s="61"/>
      <x:c r="R5" s="61"/>
      <x:c r="S5" s="61"/>
      <x:c r="T5" s="61"/>
      <x:c r="U5" s="61"/>
      <x:c r="V5" s="61"/>
      <x:c r="W5" s="61"/>
      <x:c r="X5" s="61"/>
      <x:c r="Y5" s="61"/>
      <x:c r="Z5" s="61"/>
    </x:row>
    <x:row r="6">
      <x:c r="A6" s="67" t="str">
        <x:f>IF('AI Asset Inventory'!A7="","",'AI Asset Inventory'!A7)</x:f>
        <x:v>AI-003</x:v>
      </x:c>
      <x:c r="B6" s="67" t="str">
        <x:f>IF('AI Asset Inventory'!B7="","",'AI Asset Inventory'!B7)</x:f>
        <x:v>FeatherForecast</x:v>
      </x:c>
      <x:c r="C6" s="67" t="str">
        <x:f>IF('AI Asset Inventory'!F7="","",'AI Asset Inventory'!F7)</x:f>
        <x:v>Tobias Duckman — Director Supply Chain</x:v>
      </x:c>
      <x:c r="D6" s="67" t="str">
        <x:f>IF('AI Asset Inventory'!G7="","",'AI Asset Inventory'!G7)</x:f>
        <x:v>Dr. Ada Duckfield — Head of Data &amp; AI</x:v>
      </x:c>
      <x:c r="E6" s="67" t="str">
        <x:f>IF('AI Asset Inventory'!H7="","",'AI Asset Inventory'!H7)</x:f>
        <x:v>Tobias Duckman — Director Supply Chain</x:v>
      </x:c>
      <x:c r="F6" s="67" t="str">
        <x:f>IF('AI Asset Inventory'!J7="","",'AI Asset Inventory'!J7)</x:f>
        <x:v>Production</x:v>
      </x:c>
      <x:c r="G6" s="68" t="n">
        <x:f>IF('AI Asset Inventory'!L7="","",'AI Asset Inventory'!L7)</x:f>
        <x:v>46203</x:v>
      </x:c>
      <x:c r="H6" s="68" t="n">
        <x:f>IF('AI Asset Inventory'!M7="","",'AI Asset Inventory'!M7)</x:f>
        <x:v>46295</x:v>
      </x:c>
      <x:c r="I6" s="67" t="str">
        <x:f>IF(H6="","No review date",IF(H6&lt;TODAY(),"OVERDUE",IF(H6&lt;=TODAY()+30,"Due within 30 days","Scheduled")))</x:f>
        <x:v>Scheduled</x:v>
      </x:c>
      <x:c r="J6" s="67" t="str">
        <x:f>IF('AI Asset Inventory'!AL7="","",'AI Asset Inventory'!AL7)</x:f>
        <x:v>Approved</x:v>
      </x:c>
      <x:c r="K6" s="67" t="str">
        <x:f>IF('AI Asset Inventory'!AM7="","",'AI Asset Inventory'!AM7)</x:f>
        <x:v>Continue with monitoring</x:v>
      </x:c>
      <x:c r="L6" s="67" t="str">
        <x:f>IF('AI Asset Inventory'!AU7="","",'AI Asset Inventory'!AU7)</x:f>
        <x:v>Synthetic repository / 05-control-framework</x:v>
      </x:c>
      <x:c r="M6" s="61"/>
      <x:c r="N6" s="61"/>
      <x:c r="O6" s="61"/>
      <x:c r="P6" s="61"/>
      <x:c r="Q6" s="61"/>
      <x:c r="R6" s="61"/>
      <x:c r="S6" s="61"/>
      <x:c r="T6" s="61"/>
      <x:c r="U6" s="61"/>
      <x:c r="V6" s="61"/>
      <x:c r="W6" s="61"/>
      <x:c r="X6" s="61"/>
      <x:c r="Y6" s="61"/>
      <x:c r="Z6" s="61"/>
    </x:row>
    <x:row r="7">
      <x:c r="A7" s="67" t="str">
        <x:f>IF('AI Asset Inventory'!A8="","",'AI Asset Inventory'!A8)</x:f>
        <x:v>AI-004</x:v>
      </x:c>
      <x:c r="B7" s="67" t="str">
        <x:f>IF('AI Asset Inventory'!B8="","",'AI Asset Inventory'!B8)</x:f>
        <x:v>WingInspect Vision</x:v>
      </x:c>
      <x:c r="C7" s="67" t="str">
        <x:f>IF('AI Asset Inventory'!F8="","",'AI Asset Inventory'!F8)</x:f>
        <x:v>Henrietta Duckwell — Director Manufacturing</x:v>
      </x:c>
      <x:c r="D7" s="67" t="str">
        <x:f>IF('AI Asset Inventory'!G8="","",'AI Asset Inventory'!G8)</x:f>
        <x:v>Dr. Ada Duckfield — Head of Data &amp; AI</x:v>
      </x:c>
      <x:c r="E7" s="67" t="str">
        <x:f>IF('AI Asset Inventory'!H8="","",'AI Asset Inventory'!H8)</x:f>
        <x:v>Henrietta Duckwell — Director Manufacturing</x:v>
      </x:c>
      <x:c r="F7" s="67" t="str">
        <x:f>IF('AI Asset Inventory'!J8="","",'AI Asset Inventory'!J8)</x:f>
        <x:v>Pilot</x:v>
      </x:c>
      <x:c r="G7" s="68" t="n">
        <x:f>IF('AI Asset Inventory'!L8="","",'AI Asset Inventory'!L8)</x:f>
        <x:v>46223</x:v>
      </x:c>
      <x:c r="H7" s="68" t="n">
        <x:f>IF('AI Asset Inventory'!M8="","",'AI Asset Inventory'!M8)</x:f>
        <x:v>46285</x:v>
      </x:c>
      <x:c r="I7" s="67" t="str">
        <x:f>IF(H7="","No review date",IF(H7&lt;TODAY(),"OVERDUE",IF(H7&lt;=TODAY()+30,"Due within 30 days","Scheduled")))</x:f>
        <x:v>Scheduled</x:v>
      </x:c>
      <x:c r="J7" s="67" t="str">
        <x:f>IF('AI Asset Inventory'!AL8="","",'AI Asset Inventory'!AL8)</x:f>
        <x:v>Conditionally Approved</x:v>
      </x:c>
      <x:c r="K7" s="67" t="str">
        <x:f>IF('AI Asset Inventory'!AM8="","",'AI Asset Inventory'!AM8)</x:f>
        <x:v>Restricted pilot only</x:v>
      </x:c>
      <x:c r="L7" s="67" t="str">
        <x:f>IF('AI Asset Inventory'!AU8="","",'AI Asset Inventory'!AU8)</x:f>
        <x:v>Synthetic repository / 05-control-framework</x:v>
      </x:c>
      <x:c r="M7" s="61"/>
      <x:c r="N7" s="61"/>
      <x:c r="O7" s="61"/>
      <x:c r="P7" s="61"/>
      <x:c r="Q7" s="61"/>
      <x:c r="R7" s="61"/>
      <x:c r="S7" s="61"/>
      <x:c r="T7" s="61"/>
      <x:c r="U7" s="61"/>
      <x:c r="V7" s="61"/>
      <x:c r="W7" s="61"/>
      <x:c r="X7" s="61"/>
      <x:c r="Y7" s="61"/>
      <x:c r="Z7" s="61"/>
    </x:row>
    <x:row r="8">
      <x:c r="A8" s="67" t="str">
        <x:f>IF('AI Asset Inventory'!A9="","",'AI Asset Inventory'!A9)</x:f>
        <x:v>AI-005</x:v>
      </x:c>
      <x:c r="B8" s="67" t="str">
        <x:f>IF('AI Asset Inventory'!B9="","",'AI Asset Inventory'!B9)</x:f>
        <x:v>DuckTalent AI</x:v>
      </x:c>
      <x:c r="C8" s="67" t="str">
        <x:f>IF('AI Asset Inventory'!F9="","",'AI Asset Inventory'!F9)</x:f>
        <x:v>Beatrice Van Duck — Chief People Officer</x:v>
      </x:c>
      <x:c r="D8" s="67" t="str">
        <x:f>IF('AI Asset Inventory'!G9="","",'AI Asset Inventory'!G9)</x:f>
        <x:v>Dr. Ada Duckfield — Head of Data &amp; AI</x:v>
      </x:c>
      <x:c r="E8" s="67" t="str">
        <x:f>IF('AI Asset Inventory'!H9="","",'AI Asset Inventory'!H9)</x:f>
        <x:v>Beatrice Van Duck — Chief People Officer</x:v>
      </x:c>
      <x:c r="F8" s="67" t="str">
        <x:f>IF('AI Asset Inventory'!J9="","",'AI Asset Inventory'!J9)</x:f>
        <x:v>Concept</x:v>
      </x:c>
      <x:c r="G8" s="68" t="str">
        <x:f>IF('AI Asset Inventory'!L9="","",'AI Asset Inventory'!L9)</x:f>
      </x:c>
      <x:c r="H8" s="68" t="n">
        <x:f>IF('AI Asset Inventory'!M9="","",'AI Asset Inventory'!M9)</x:f>
        <x:v>46266</x:v>
      </x:c>
      <x:c r="I8" s="67" t="str">
        <x:f>IF(H8="","No review date",IF(H8&lt;TODAY(),"OVERDUE",IF(H8&lt;=TODAY()+30,"Due within 30 days","Scheduled")))</x:f>
        <x:v>Due within 30 days</x:v>
      </x:c>
      <x:c r="J8" s="67" t="str">
        <x:f>IF('AI Asset Inventory'!AL9="","",'AI Asset Inventory'!AL9)</x:f>
        <x:v>Not Submitted</x:v>
      </x:c>
      <x:c r="K8" s="67" t="str">
        <x:f>IF('AI Asset Inventory'!AM9="","",'AI Asset Inventory'!AM9)</x:f>
        <x:v>Do not deploy in current state</x:v>
      </x:c>
      <x:c r="L8" s="67" t="str">
        <x:f>IF('AI Asset Inventory'!AU9="","",'AI Asset Inventory'!AU9)</x:f>
        <x:v>Synthetic repository / 05-control-framework</x:v>
      </x:c>
      <x:c r="M8" s="61"/>
      <x:c r="N8" s="61"/>
      <x:c r="O8" s="61"/>
      <x:c r="P8" s="61"/>
      <x:c r="Q8" s="61"/>
      <x:c r="R8" s="61"/>
      <x:c r="S8" s="61"/>
      <x:c r="T8" s="61"/>
      <x:c r="U8" s="61"/>
      <x:c r="V8" s="61"/>
      <x:c r="W8" s="61"/>
      <x:c r="X8" s="61"/>
      <x:c r="Y8" s="61"/>
      <x:c r="Z8" s="61"/>
    </x:row>
    <x:row r="9">
      <x:c r="A9" s="67" t="str">
        <x:f>IF('AI Asset Inventory'!A10="","",'AI Asset Inventory'!A10)</x:f>
        <x:v>AI-006</x:v>
      </x:c>
      <x:c r="B9" s="67" t="str">
        <x:f>IF('AI Asset Inventory'!B10="","",'AI Asset Inventory'!B10)</x:f>
        <x:v>PondGPT</x:v>
      </x:c>
      <x:c r="C9" s="67" t="str">
        <x:f>IF('AI Asset Inventory'!F10="","",'AI Asset Inventory'!F10)</x:f>
        <x:v>Oliver Duckett — Head of IT &amp; Cloud</x:v>
      </x:c>
      <x:c r="D9" s="67" t="str">
        <x:f>IF('AI Asset Inventory'!G10="","",'AI Asset Inventory'!G10)</x:f>
        <x:v>Dr. Ada Duckfield — Head of Data &amp; AI</x:v>
      </x:c>
      <x:c r="E9" s="67" t="str">
        <x:f>IF('AI Asset Inventory'!H10="","",'AI Asset Inventory'!H10)</x:f>
        <x:v>Business data owners by source system</x:v>
      </x:c>
      <x:c r="F9" s="67" t="str">
        <x:f>IF('AI Asset Inventory'!J10="","",'AI Asset Inventory'!J10)</x:f>
        <x:v>Pilot</x:v>
      </x:c>
      <x:c r="G9" s="68" t="n">
        <x:f>IF('AI Asset Inventory'!L10="","",'AI Asset Inventory'!L10)</x:f>
        <x:v>46228</x:v>
      </x:c>
      <x:c r="H9" s="68" t="n">
        <x:f>IF('AI Asset Inventory'!M10="","",'AI Asset Inventory'!M10)</x:f>
        <x:v>46290</x:v>
      </x:c>
      <x:c r="I9" s="67" t="str">
        <x:f>IF(H9="","No review date",IF(H9&lt;TODAY(),"OVERDUE",IF(H9&lt;=TODAY()+30,"Due within 30 days","Scheduled")))</x:f>
        <x:v>Scheduled</x:v>
      </x:c>
      <x:c r="J9" s="67" t="str">
        <x:f>IF('AI Asset Inventory'!AL10="","",'AI Asset Inventory'!AL10)</x:f>
        <x:v>Conditionally Approved</x:v>
      </x:c>
      <x:c r="K9" s="67" t="str">
        <x:f>IF('AI Asset Inventory'!AM10="","",'AI Asset Inventory'!AM10)</x:f>
        <x:v>Restricted pilot only</x:v>
      </x:c>
      <x:c r="L9" s="67" t="str">
        <x:f>IF('AI Asset Inventory'!AU10="","",'AI Asset Inventory'!AU10)</x:f>
        <x:v>Synthetic repository / 05-control-framework</x:v>
      </x:c>
      <x:c r="M9" s="61"/>
      <x:c r="N9" s="61"/>
      <x:c r="O9" s="61"/>
      <x:c r="P9" s="61"/>
      <x:c r="Q9" s="61"/>
      <x:c r="R9" s="61"/>
      <x:c r="S9" s="61"/>
      <x:c r="T9" s="61"/>
      <x:c r="U9" s="61"/>
      <x:c r="V9" s="61"/>
      <x:c r="W9" s="61"/>
      <x:c r="X9" s="61"/>
      <x:c r="Y9" s="61"/>
      <x:c r="Z9" s="61"/>
    </x:row>
    <x:row r="10">
      <x:c r="A10" s="67" t="str">
        <x:f>IF('AI Asset Inventory'!A11="","",'AI Asset Inventory'!A11)</x:f>
        <x:v>AI-007</x:v>
      </x:c>
      <x:c r="B10" s="67" t="str">
        <x:f>IF('AI Asset Inventory'!B11="","",'AI Asset Inventory'!B11)</x:f>
        <x:v>Unregistered GenAI Usage</x:v>
      </x:c>
      <x:c r="C10" s="67" t="str">
        <x:f>IF('AI Asset Inventory'!F11="","",'AI Asset Inventory'!F11)</x:f>
        <x:v>Multiple / currently unclear</x:v>
      </x:c>
      <x:c r="D10" s="67" t="str">
        <x:f>IF('AI Asset Inventory'!G11="","",'AI Asset Inventory'!G11)</x:f>
      </x:c>
      <x:c r="E10" s="67" t="str">
        <x:f>IF('AI Asset Inventory'!H11="","",'AI Asset Inventory'!H11)</x:f>
        <x:v>Multiple / unknown</x:v>
      </x:c>
      <x:c r="F10" s="67" t="str">
        <x:f>IF('AI Asset Inventory'!J11="","",'AI Asset Inventory'!J11)</x:f>
        <x:v>Discovered</x:v>
      </x:c>
      <x:c r="G10" s="68" t="n">
        <x:f>IF('AI Asset Inventory'!L11="","",'AI Asset Inventory'!L11)</x:f>
        <x:v>46231</x:v>
      </x:c>
      <x:c r="H10" s="68" t="n">
        <x:f>IF('AI Asset Inventory'!M11="","",'AI Asset Inventory'!M11)</x:f>
        <x:v>46265</x:v>
      </x:c>
      <x:c r="I10" s="67" t="str">
        <x:f>IF(H10="","No review date",IF(H10&lt;TODAY(),"OVERDUE",IF(H10&lt;=TODAY()+30,"Due within 30 days","Scheduled")))</x:f>
        <x:v>Due within 30 days</x:v>
      </x:c>
      <x:c r="J10" s="67" t="str">
        <x:f>IF('AI Asset Inventory'!AL11="","",'AI Asset Inventory'!AL11)</x:f>
        <x:v>Not Applicable</x:v>
      </x:c>
      <x:c r="K10" s="67" t="str">
        <x:f>IF('AI Asset Inventory'!AM11="","",'AI Asset Inventory'!AM11)</x:f>
        <x:v>Immediate containment</x:v>
      </x:c>
      <x:c r="L10" s="67" t="str">
        <x:f>IF('AI Asset Inventory'!AU11="","",'AI Asset Inventory'!AU11)</x:f>
        <x:v>Synthetic repository / 05-control-framework</x:v>
      </x:c>
      <x:c r="M10" s="61"/>
      <x:c r="N10" s="61"/>
      <x:c r="O10" s="61"/>
      <x:c r="P10" s="61"/>
      <x:c r="Q10" s="61"/>
      <x:c r="R10" s="61"/>
      <x:c r="S10" s="61"/>
      <x:c r="T10" s="61"/>
      <x:c r="U10" s="61"/>
      <x:c r="V10" s="61"/>
      <x:c r="W10" s="61"/>
      <x:c r="X10" s="61"/>
      <x:c r="Y10" s="61"/>
      <x:c r="Z10" s="61"/>
    </x:row>
    <x:row r="11">
      <x:c r="A11" s="61"/>
      <x:c r="B11" s="61"/>
      <x:c r="C11" s="61"/>
      <x:c r="D11" s="61"/>
      <x:c r="E11" s="61"/>
      <x:c r="F11" s="61"/>
      <x:c r="G11" s="61"/>
      <x:c r="H11" s="61"/>
      <x:c r="I11" s="61"/>
      <x:c r="J11" s="61"/>
      <x:c r="K11" s="61"/>
      <x:c r="L11" s="61"/>
      <x:c r="M11" s="61"/>
      <x:c r="N11" s="61"/>
      <x:c r="O11" s="61"/>
      <x:c r="P11" s="61"/>
      <x:c r="Q11" s="61"/>
      <x:c r="R11" s="61"/>
      <x:c r="S11" s="61"/>
      <x:c r="T11" s="61"/>
      <x:c r="U11" s="61"/>
      <x:c r="V11" s="61"/>
      <x:c r="W11" s="61"/>
      <x:c r="X11" s="61"/>
      <x:c r="Y11" s="61"/>
      <x:c r="Z11" s="61"/>
    </x:row>
    <x:row r="12">
      <x:c r="A12" s="61"/>
      <x:c r="B12" s="61"/>
      <x:c r="C12" s="61"/>
      <x:c r="D12" s="61"/>
      <x:c r="E12" s="61"/>
      <x:c r="F12" s="61"/>
      <x:c r="G12" s="61"/>
      <x:c r="H12" s="61"/>
      <x:c r="I12" s="61"/>
      <x:c r="J12" s="61"/>
      <x:c r="K12" s="61"/>
      <x:c r="L12" s="61"/>
      <x:c r="M12" s="61"/>
      <x:c r="N12" s="61"/>
      <x:c r="O12" s="61"/>
      <x:c r="P12" s="61"/>
      <x:c r="Q12" s="61"/>
      <x:c r="R12" s="61"/>
      <x:c r="S12" s="61"/>
      <x:c r="T12" s="61"/>
      <x:c r="U12" s="61"/>
      <x:c r="V12" s="61"/>
      <x:c r="W12" s="61"/>
      <x:c r="X12" s="61"/>
      <x:c r="Y12" s="61"/>
      <x:c r="Z12" s="61"/>
    </x:row>
    <x:row r="13">
      <x:c r="A13" s="61"/>
      <x:c r="B13" s="61"/>
      <x:c r="C13" s="61"/>
      <x:c r="D13" s="61"/>
      <x:c r="E13" s="61"/>
      <x:c r="F13" s="61"/>
      <x:c r="G13" s="61"/>
      <x:c r="H13" s="61"/>
      <x:c r="I13" s="61"/>
      <x:c r="J13" s="61"/>
      <x:c r="K13" s="61"/>
      <x:c r="L13" s="61"/>
      <x:c r="M13" s="61"/>
      <x:c r="N13" s="61"/>
      <x:c r="O13" s="61"/>
      <x:c r="P13" s="61"/>
      <x:c r="Q13" s="61"/>
      <x:c r="R13" s="61"/>
      <x:c r="S13" s="61"/>
      <x:c r="T13" s="61"/>
      <x:c r="U13" s="61"/>
      <x:c r="V13" s="61"/>
      <x:c r="W13" s="61"/>
      <x:c r="X13" s="61"/>
      <x:c r="Y13" s="61"/>
      <x:c r="Z13" s="61"/>
    </x:row>
    <x:row r="14">
      <x:c r="A14" s="61"/>
      <x:c r="B14" s="61"/>
      <x:c r="C14" s="61"/>
      <x:c r="D14" s="61"/>
      <x:c r="E14" s="61"/>
      <x:c r="F14" s="61"/>
      <x:c r="G14" s="61"/>
      <x:c r="H14" s="61"/>
      <x:c r="I14" s="61"/>
      <x:c r="J14" s="61"/>
      <x:c r="K14" s="61"/>
      <x:c r="L14" s="61"/>
      <x:c r="M14" s="61"/>
      <x:c r="N14" s="61"/>
      <x:c r="O14" s="61"/>
      <x:c r="P14" s="61"/>
      <x:c r="Q14" s="61"/>
      <x:c r="R14" s="61"/>
      <x:c r="S14" s="61"/>
      <x:c r="T14" s="61"/>
      <x:c r="U14" s="61"/>
      <x:c r="V14" s="61"/>
      <x:c r="W14" s="61"/>
      <x:c r="X14" s="61"/>
      <x:c r="Y14" s="61"/>
      <x:c r="Z14" s="61"/>
    </x:row>
    <x:row r="15">
      <x:c r="A15" s="61"/>
      <x:c r="B15" s="61"/>
      <x:c r="C15" s="61"/>
      <x:c r="D15" s="61"/>
      <x:c r="E15" s="61"/>
      <x:c r="F15" s="61"/>
      <x:c r="G15" s="61"/>
      <x:c r="H15" s="61"/>
      <x:c r="I15" s="61"/>
      <x:c r="J15" s="61"/>
      <x:c r="K15" s="61"/>
      <x:c r="L15" s="61"/>
      <x:c r="M15" s="61"/>
      <x:c r="N15" s="61"/>
      <x:c r="O15" s="61"/>
      <x:c r="P15" s="61"/>
      <x:c r="Q15" s="61"/>
      <x:c r="R15" s="61"/>
      <x:c r="S15" s="61"/>
      <x:c r="T15" s="61"/>
      <x:c r="U15" s="61"/>
      <x:c r="V15" s="61"/>
      <x:c r="W15" s="61"/>
      <x:c r="X15" s="61"/>
      <x:c r="Y15" s="61"/>
      <x:c r="Z15" s="61"/>
    </x:row>
    <x:row r="16">
      <x:c r="A16" s="61"/>
      <x:c r="B16" s="61"/>
      <x:c r="C16" s="61"/>
      <x:c r="D16" s="61"/>
      <x:c r="E16" s="61"/>
      <x:c r="F16" s="61"/>
      <x:c r="G16" s="61"/>
      <x:c r="H16" s="61"/>
      <x:c r="I16" s="61"/>
      <x:c r="J16" s="61"/>
      <x:c r="K16" s="61"/>
      <x:c r="L16" s="61"/>
      <x:c r="M16" s="61"/>
      <x:c r="N16" s="61"/>
      <x:c r="O16" s="61"/>
      <x:c r="P16" s="61"/>
      <x:c r="Q16" s="61"/>
      <x:c r="R16" s="61"/>
      <x:c r="S16" s="61"/>
      <x:c r="T16" s="61"/>
      <x:c r="U16" s="61"/>
      <x:c r="V16" s="61"/>
      <x:c r="W16" s="61"/>
      <x:c r="X16" s="61"/>
      <x:c r="Y16" s="61"/>
      <x:c r="Z16" s="61"/>
    </x:row>
    <x:row r="17">
      <x:c r="A17" s="61"/>
      <x:c r="B17" s="61"/>
      <x:c r="C17" s="61"/>
      <x:c r="D17" s="61"/>
      <x:c r="E17" s="61"/>
      <x:c r="F17" s="61"/>
      <x:c r="G17" s="61"/>
      <x:c r="H17" s="61"/>
      <x:c r="I17" s="61"/>
      <x:c r="J17" s="61"/>
      <x:c r="K17" s="61"/>
      <x:c r="L17" s="61"/>
      <x:c r="M17" s="61"/>
      <x:c r="N17" s="61"/>
      <x:c r="O17" s="61"/>
      <x:c r="P17" s="61"/>
      <x:c r="Q17" s="61"/>
      <x:c r="R17" s="61"/>
      <x:c r="S17" s="61"/>
      <x:c r="T17" s="61"/>
      <x:c r="U17" s="61"/>
      <x:c r="V17" s="61"/>
      <x:c r="W17" s="61"/>
      <x:c r="X17" s="61"/>
      <x:c r="Y17" s="61"/>
      <x:c r="Z17" s="61"/>
    </x:row>
    <x:row r="18">
      <x:c r="A18" s="61"/>
      <x:c r="B18" s="61"/>
      <x:c r="C18" s="61"/>
      <x:c r="D18" s="61"/>
      <x:c r="E18" s="61"/>
      <x:c r="F18" s="61"/>
      <x:c r="G18" s="61"/>
      <x:c r="H18" s="61"/>
      <x:c r="I18" s="61"/>
      <x:c r="J18" s="61"/>
      <x:c r="K18" s="61"/>
      <x:c r="L18" s="61"/>
      <x:c r="M18" s="61"/>
      <x:c r="N18" s="61"/>
      <x:c r="O18" s="61"/>
      <x:c r="P18" s="61"/>
      <x:c r="Q18" s="61"/>
      <x:c r="R18" s="61"/>
      <x:c r="S18" s="61"/>
      <x:c r="T18" s="61"/>
      <x:c r="U18" s="61"/>
      <x:c r="V18" s="61"/>
      <x:c r="W18" s="61"/>
      <x:c r="X18" s="61"/>
      <x:c r="Y18" s="61"/>
      <x:c r="Z18" s="61"/>
    </x:row>
    <x:row r="19">
      <x:c r="A19" s="61"/>
      <x:c r="B19" s="61"/>
      <x:c r="C19" s="61"/>
      <x:c r="D19" s="61"/>
      <x:c r="E19" s="61"/>
      <x:c r="F19" s="61"/>
      <x:c r="G19" s="61"/>
      <x:c r="H19" s="61"/>
      <x:c r="I19" s="61"/>
      <x:c r="J19" s="61"/>
      <x:c r="K19" s="61"/>
      <x:c r="L19" s="61"/>
      <x:c r="M19" s="61"/>
      <x:c r="N19" s="61"/>
      <x:c r="O19" s="61"/>
      <x:c r="P19" s="61"/>
      <x:c r="Q19" s="61"/>
      <x:c r="R19" s="61"/>
      <x:c r="S19" s="61"/>
      <x:c r="T19" s="61"/>
      <x:c r="U19" s="61"/>
      <x:c r="V19" s="61"/>
      <x:c r="W19" s="61"/>
      <x:c r="X19" s="61"/>
      <x:c r="Y19" s="61"/>
      <x:c r="Z19" s="61"/>
    </x:row>
    <x:row r="20">
      <x:c r="A20" s="61"/>
      <x:c r="B20" s="61"/>
      <x:c r="C20" s="61"/>
      <x:c r="D20" s="61"/>
      <x:c r="E20" s="61"/>
      <x:c r="F20" s="61"/>
      <x:c r="G20" s="61"/>
      <x:c r="H20" s="61"/>
      <x:c r="I20" s="61"/>
      <x:c r="J20" s="61"/>
      <x:c r="K20" s="61"/>
      <x:c r="L20" s="61"/>
      <x:c r="M20" s="61"/>
      <x:c r="N20" s="61"/>
      <x:c r="O20" s="61"/>
      <x:c r="P20" s="61"/>
      <x:c r="Q20" s="61"/>
      <x:c r="R20" s="61"/>
      <x:c r="S20" s="61"/>
      <x:c r="T20" s="61"/>
      <x:c r="U20" s="61"/>
      <x:c r="V20" s="61"/>
      <x:c r="W20" s="61"/>
      <x:c r="X20" s="61"/>
      <x:c r="Y20" s="61"/>
      <x:c r="Z20" s="61"/>
    </x:row>
    <x:row r="21">
      <x:c r="A21" s="61"/>
      <x:c r="B21" s="61"/>
      <x:c r="C21" s="61"/>
      <x:c r="D21" s="61"/>
      <x:c r="E21" s="61"/>
      <x:c r="F21" s="61"/>
      <x:c r="G21" s="61"/>
      <x:c r="H21" s="61"/>
      <x:c r="I21" s="61"/>
      <x:c r="J21" s="61"/>
      <x:c r="K21" s="61"/>
      <x:c r="L21" s="61"/>
      <x:c r="M21" s="61"/>
      <x:c r="N21" s="61"/>
      <x:c r="O21" s="61"/>
      <x:c r="P21" s="61"/>
      <x:c r="Q21" s="61"/>
      <x:c r="R21" s="61"/>
      <x:c r="S21" s="61"/>
      <x:c r="T21" s="61"/>
      <x:c r="U21" s="61"/>
      <x:c r="V21" s="61"/>
      <x:c r="W21" s="61"/>
      <x:c r="X21" s="61"/>
      <x:c r="Y21" s="61"/>
      <x:c r="Z21" s="61"/>
    </x:row>
    <x:row r="22">
      <x:c r="A22" s="61"/>
      <x:c r="B22" s="61"/>
      <x:c r="C22" s="61"/>
      <x:c r="D22" s="61"/>
      <x:c r="E22" s="61"/>
      <x:c r="F22" s="61"/>
      <x:c r="G22" s="61"/>
      <x:c r="H22" s="61"/>
      <x:c r="I22" s="61"/>
      <x:c r="J22" s="61"/>
      <x:c r="K22" s="61"/>
      <x:c r="L22" s="61"/>
      <x:c r="M22" s="61"/>
      <x:c r="N22" s="61"/>
      <x:c r="O22" s="61"/>
      <x:c r="P22" s="61"/>
      <x:c r="Q22" s="61"/>
      <x:c r="R22" s="61"/>
      <x:c r="S22" s="61"/>
      <x:c r="T22" s="61"/>
      <x:c r="U22" s="61"/>
      <x:c r="V22" s="61"/>
      <x:c r="W22" s="61"/>
      <x:c r="X22" s="61"/>
      <x:c r="Y22" s="61"/>
      <x:c r="Z22" s="61"/>
    </x:row>
    <x:row r="23">
      <x:c r="A23" s="61"/>
      <x:c r="B23" s="61"/>
      <x:c r="C23" s="61"/>
      <x:c r="D23" s="61"/>
      <x:c r="E23" s="61"/>
      <x:c r="F23" s="61"/>
      <x:c r="G23" s="61"/>
      <x:c r="H23" s="61"/>
      <x:c r="I23" s="61"/>
      <x:c r="J23" s="61"/>
      <x:c r="K23" s="61"/>
      <x:c r="L23" s="61"/>
      <x:c r="M23" s="61"/>
      <x:c r="N23" s="61"/>
      <x:c r="O23" s="61"/>
      <x:c r="P23" s="61"/>
      <x:c r="Q23" s="61"/>
      <x:c r="R23" s="61"/>
      <x:c r="S23" s="61"/>
      <x:c r="T23" s="61"/>
      <x:c r="U23" s="61"/>
      <x:c r="V23" s="61"/>
      <x:c r="W23" s="61"/>
      <x:c r="X23" s="61"/>
      <x:c r="Y23" s="61"/>
      <x:c r="Z23" s="61"/>
    </x:row>
    <x:row r="24">
      <x:c r="A24" s="61"/>
      <x:c r="B24" s="61"/>
      <x:c r="C24" s="61"/>
      <x:c r="D24" s="61"/>
      <x:c r="E24" s="61"/>
      <x:c r="F24" s="61"/>
      <x:c r="G24" s="61"/>
      <x:c r="H24" s="61"/>
      <x:c r="I24" s="61"/>
      <x:c r="J24" s="61"/>
      <x:c r="K24" s="61"/>
      <x:c r="L24" s="61"/>
      <x:c r="M24" s="61"/>
      <x:c r="N24" s="61"/>
      <x:c r="O24" s="61"/>
      <x:c r="P24" s="61"/>
      <x:c r="Q24" s="61"/>
      <x:c r="R24" s="61"/>
      <x:c r="S24" s="61"/>
      <x:c r="T24" s="61"/>
      <x:c r="U24" s="61"/>
      <x:c r="V24" s="61"/>
      <x:c r="W24" s="61"/>
      <x:c r="X24" s="61"/>
      <x:c r="Y24" s="61"/>
      <x:c r="Z24" s="61"/>
    </x:row>
    <x:row r="25">
      <x:c r="A25" s="61"/>
      <x:c r="B25" s="61"/>
      <x:c r="C25" s="61"/>
      <x:c r="D25" s="61"/>
      <x:c r="E25" s="61"/>
      <x:c r="F25" s="61"/>
      <x:c r="G25" s="61"/>
      <x:c r="H25" s="61"/>
      <x:c r="I25" s="61"/>
      <x:c r="J25" s="61"/>
      <x:c r="K25" s="61"/>
      <x:c r="L25" s="61"/>
      <x:c r="M25" s="61"/>
      <x:c r="N25" s="61"/>
      <x:c r="O25" s="61"/>
      <x:c r="P25" s="61"/>
      <x:c r="Q25" s="61"/>
      <x:c r="R25" s="61"/>
      <x:c r="S25" s="61"/>
      <x:c r="T25" s="61"/>
      <x:c r="U25" s="61"/>
      <x:c r="V25" s="61"/>
      <x:c r="W25" s="61"/>
      <x:c r="X25" s="61"/>
      <x:c r="Y25" s="61"/>
      <x:c r="Z25" s="61"/>
    </x:row>
    <x:row r="26">
      <x:c r="A26" s="61"/>
      <x:c r="B26" s="61"/>
      <x:c r="C26" s="61"/>
      <x:c r="D26" s="61"/>
      <x:c r="E26" s="61"/>
      <x:c r="F26" s="61"/>
      <x:c r="G26" s="61"/>
      <x:c r="H26" s="61"/>
      <x:c r="I26" s="61"/>
      <x:c r="J26" s="61"/>
      <x:c r="K26" s="61"/>
      <x:c r="L26" s="61"/>
      <x:c r="M26" s="61"/>
      <x:c r="N26" s="61"/>
      <x:c r="O26" s="61"/>
      <x:c r="P26" s="61"/>
      <x:c r="Q26" s="61"/>
      <x:c r="R26" s="61"/>
      <x:c r="S26" s="61"/>
      <x:c r="T26" s="61"/>
      <x:c r="U26" s="61"/>
      <x:c r="V26" s="61"/>
      <x:c r="W26" s="61"/>
      <x:c r="X26" s="61"/>
      <x:c r="Y26" s="61"/>
      <x:c r="Z26" s="61"/>
    </x:row>
    <x:row r="27">
      <x:c r="A27" s="61"/>
      <x:c r="B27" s="61"/>
      <x:c r="C27" s="61"/>
      <x:c r="D27" s="61"/>
      <x:c r="E27" s="61"/>
      <x:c r="F27" s="61"/>
      <x:c r="G27" s="61"/>
      <x:c r="H27" s="61"/>
      <x:c r="I27" s="61"/>
      <x:c r="J27" s="61"/>
      <x:c r="K27" s="61"/>
      <x:c r="L27" s="61"/>
      <x:c r="M27" s="61"/>
      <x:c r="N27" s="61"/>
      <x:c r="O27" s="61"/>
      <x:c r="P27" s="61"/>
      <x:c r="Q27" s="61"/>
      <x:c r="R27" s="61"/>
      <x:c r="S27" s="61"/>
      <x:c r="T27" s="61"/>
      <x:c r="U27" s="61"/>
      <x:c r="V27" s="61"/>
      <x:c r="W27" s="61"/>
      <x:c r="X27" s="61"/>
      <x:c r="Y27" s="61"/>
      <x:c r="Z27" s="61"/>
    </x:row>
    <x:row r="28">
      <x:c r="A28" s="61"/>
      <x:c r="B28" s="61"/>
      <x:c r="C28" s="61"/>
      <x:c r="D28" s="61"/>
      <x:c r="E28" s="61"/>
      <x:c r="F28" s="61"/>
      <x:c r="G28" s="61"/>
      <x:c r="H28" s="61"/>
      <x:c r="I28" s="61"/>
      <x:c r="J28" s="61"/>
      <x:c r="K28" s="61"/>
      <x:c r="L28" s="61"/>
      <x:c r="M28" s="61"/>
      <x:c r="N28" s="61"/>
      <x:c r="O28" s="61"/>
      <x:c r="P28" s="61"/>
      <x:c r="Q28" s="61"/>
      <x:c r="R28" s="61"/>
      <x:c r="S28" s="61"/>
      <x:c r="T28" s="61"/>
      <x:c r="U28" s="61"/>
      <x:c r="V28" s="61"/>
      <x:c r="W28" s="61"/>
      <x:c r="X28" s="61"/>
      <x:c r="Y28" s="61"/>
      <x:c r="Z28" s="61"/>
    </x:row>
    <x:row r="29">
      <x:c r="A29" s="61"/>
      <x:c r="B29" s="61"/>
      <x:c r="C29" s="61"/>
      <x:c r="D29" s="61"/>
      <x:c r="E29" s="61"/>
      <x:c r="F29" s="61"/>
      <x:c r="G29" s="61"/>
      <x:c r="H29" s="61"/>
      <x:c r="I29" s="61"/>
      <x:c r="J29" s="61"/>
      <x:c r="K29" s="61"/>
      <x:c r="L29" s="61"/>
      <x:c r="M29" s="61"/>
      <x:c r="N29" s="61"/>
      <x:c r="O29" s="61"/>
      <x:c r="P29" s="61"/>
      <x:c r="Q29" s="61"/>
      <x:c r="R29" s="61"/>
      <x:c r="S29" s="61"/>
      <x:c r="T29" s="61"/>
      <x:c r="U29" s="61"/>
      <x:c r="V29" s="61"/>
      <x:c r="W29" s="61"/>
      <x:c r="X29" s="61"/>
      <x:c r="Y29" s="61"/>
      <x:c r="Z29" s="61"/>
    </x:row>
    <x:row r="30">
      <x:c r="A30" s="61"/>
      <x:c r="B30" s="61"/>
      <x:c r="C30" s="61"/>
      <x:c r="D30" s="61"/>
      <x:c r="E30" s="61"/>
      <x:c r="F30" s="61"/>
      <x:c r="G30" s="61"/>
      <x:c r="H30" s="61"/>
      <x:c r="I30" s="61"/>
      <x:c r="J30" s="61"/>
      <x:c r="K30" s="61"/>
      <x:c r="L30" s="61"/>
      <x:c r="M30" s="61"/>
      <x:c r="N30" s="61"/>
      <x:c r="O30" s="61"/>
      <x:c r="P30" s="61"/>
      <x:c r="Q30" s="61"/>
      <x:c r="R30" s="61"/>
      <x:c r="S30" s="61"/>
      <x:c r="T30" s="61"/>
      <x:c r="U30" s="61"/>
      <x:c r="V30" s="61"/>
      <x:c r="W30" s="61"/>
      <x:c r="X30" s="61"/>
      <x:c r="Y30" s="61"/>
      <x:c r="Z30" s="61"/>
    </x:row>
    <x:row r="31">
      <x:c r="A31" s="61"/>
      <x:c r="B31" s="61"/>
      <x:c r="C31" s="61"/>
      <x:c r="D31" s="61"/>
      <x:c r="E31" s="61"/>
      <x:c r="F31" s="61"/>
      <x:c r="G31" s="61"/>
      <x:c r="H31" s="61"/>
      <x:c r="I31" s="61"/>
      <x:c r="J31" s="61"/>
      <x:c r="K31" s="61"/>
      <x:c r="L31" s="61"/>
      <x:c r="M31" s="61"/>
      <x:c r="N31" s="61"/>
      <x:c r="O31" s="61"/>
      <x:c r="P31" s="61"/>
      <x:c r="Q31" s="61"/>
      <x:c r="R31" s="61"/>
      <x:c r="S31" s="61"/>
      <x:c r="T31" s="61"/>
      <x:c r="U31" s="61"/>
      <x:c r="V31" s="61"/>
      <x:c r="W31" s="61"/>
      <x:c r="X31" s="61"/>
      <x:c r="Y31" s="61"/>
      <x:c r="Z31" s="61"/>
    </x:row>
    <x:row r="32">
      <x:c r="A32" s="61"/>
      <x:c r="B32" s="61"/>
      <x:c r="C32" s="61"/>
      <x:c r="D32" s="61"/>
      <x:c r="E32" s="61"/>
      <x:c r="F32" s="61"/>
      <x:c r="G32" s="61"/>
      <x:c r="H32" s="61"/>
      <x:c r="I32" s="61"/>
      <x:c r="J32" s="61"/>
      <x:c r="K32" s="61"/>
      <x:c r="L32" s="61"/>
      <x:c r="M32" s="61"/>
      <x:c r="N32" s="61"/>
      <x:c r="O32" s="61"/>
      <x:c r="P32" s="61"/>
      <x:c r="Q32" s="61"/>
      <x:c r="R32" s="61"/>
      <x:c r="S32" s="61"/>
      <x:c r="T32" s="61"/>
      <x:c r="U32" s="61"/>
      <x:c r="V32" s="61"/>
      <x:c r="W32" s="61"/>
      <x:c r="X32" s="61"/>
      <x:c r="Y32" s="61"/>
      <x:c r="Z32" s="61"/>
    </x:row>
    <x:row r="33">
      <x:c r="A33" s="61"/>
      <x:c r="B33" s="61"/>
      <x:c r="C33" s="61"/>
      <x:c r="D33" s="61"/>
      <x:c r="E33" s="61"/>
      <x:c r="F33" s="61"/>
      <x:c r="G33" s="61"/>
      <x:c r="H33" s="61"/>
      <x:c r="I33" s="61"/>
      <x:c r="J33" s="61"/>
      <x:c r="K33" s="61"/>
      <x:c r="L33" s="61"/>
      <x:c r="M33" s="61"/>
      <x:c r="N33" s="61"/>
      <x:c r="O33" s="61"/>
      <x:c r="P33" s="61"/>
      <x:c r="Q33" s="61"/>
      <x:c r="R33" s="61"/>
      <x:c r="S33" s="61"/>
      <x:c r="T33" s="61"/>
      <x:c r="U33" s="61"/>
      <x:c r="V33" s="61"/>
      <x:c r="W33" s="61"/>
      <x:c r="X33" s="61"/>
      <x:c r="Y33" s="61"/>
      <x:c r="Z33" s="61"/>
    </x:row>
    <x:row r="34">
      <x:c r="A34" s="61"/>
      <x:c r="B34" s="61"/>
      <x:c r="C34" s="61"/>
      <x:c r="D34" s="61"/>
      <x:c r="E34" s="61"/>
      <x:c r="F34" s="61"/>
      <x:c r="G34" s="61"/>
      <x:c r="H34" s="61"/>
      <x:c r="I34" s="61"/>
      <x:c r="J34" s="61"/>
      <x:c r="K34" s="61"/>
      <x:c r="L34" s="61"/>
      <x:c r="M34" s="61"/>
      <x:c r="N34" s="61"/>
      <x:c r="O34" s="61"/>
      <x:c r="P34" s="61"/>
      <x:c r="Q34" s="61"/>
      <x:c r="R34" s="61"/>
      <x:c r="S34" s="61"/>
      <x:c r="T34" s="61"/>
      <x:c r="U34" s="61"/>
      <x:c r="V34" s="61"/>
      <x:c r="W34" s="61"/>
      <x:c r="X34" s="61"/>
      <x:c r="Y34" s="61"/>
      <x:c r="Z34" s="61"/>
    </x:row>
    <x:row r="35">
      <x:c r="A35" s="61"/>
      <x:c r="B35" s="61"/>
      <x:c r="C35" s="61"/>
      <x:c r="D35" s="61"/>
      <x:c r="E35" s="61"/>
      <x:c r="F35" s="61"/>
      <x:c r="G35" s="61"/>
      <x:c r="H35" s="61"/>
      <x:c r="I35" s="61"/>
      <x:c r="J35" s="61"/>
      <x:c r="K35" s="61"/>
      <x:c r="L35" s="61"/>
      <x:c r="M35" s="61"/>
      <x:c r="N35" s="61"/>
      <x:c r="O35" s="61"/>
      <x:c r="P35" s="61"/>
      <x:c r="Q35" s="61"/>
      <x:c r="R35" s="61"/>
      <x:c r="S35" s="61"/>
      <x:c r="T35" s="61"/>
      <x:c r="U35" s="61"/>
      <x:c r="V35" s="61"/>
      <x:c r="W35" s="61"/>
      <x:c r="X35" s="61"/>
      <x:c r="Y35" s="61"/>
      <x:c r="Z35" s="61"/>
    </x:row>
    <x:row r="36">
      <x:c r="A36" s="61"/>
      <x:c r="B36" s="61"/>
      <x:c r="C36" s="61"/>
      <x:c r="D36" s="61"/>
      <x:c r="E36" s="61"/>
      <x:c r="F36" s="61"/>
      <x:c r="G36" s="61"/>
      <x:c r="H36" s="61"/>
      <x:c r="I36" s="61"/>
      <x:c r="J36" s="61"/>
      <x:c r="K36" s="61"/>
      <x:c r="L36" s="61"/>
      <x:c r="M36" s="61"/>
      <x:c r="N36" s="61"/>
      <x:c r="O36" s="61"/>
      <x:c r="P36" s="61"/>
      <x:c r="Q36" s="61"/>
      <x:c r="R36" s="61"/>
      <x:c r="S36" s="61"/>
      <x:c r="T36" s="61"/>
      <x:c r="U36" s="61"/>
      <x:c r="V36" s="61"/>
      <x:c r="W36" s="61"/>
      <x:c r="X36" s="61"/>
      <x:c r="Y36" s="61"/>
      <x:c r="Z36" s="61"/>
    </x:row>
    <x:row r="37">
      <x:c r="A37" s="61"/>
      <x:c r="B37" s="61"/>
      <x:c r="C37" s="61"/>
      <x:c r="D37" s="61"/>
      <x:c r="E37" s="61"/>
      <x:c r="F37" s="61"/>
      <x:c r="G37" s="61"/>
      <x:c r="H37" s="61"/>
      <x:c r="I37" s="61"/>
      <x:c r="J37" s="61"/>
      <x:c r="K37" s="61"/>
      <x:c r="L37" s="61"/>
      <x:c r="M37" s="61"/>
      <x:c r="N37" s="61"/>
      <x:c r="O37" s="61"/>
      <x:c r="P37" s="61"/>
      <x:c r="Q37" s="61"/>
      <x:c r="R37" s="61"/>
      <x:c r="S37" s="61"/>
      <x:c r="T37" s="61"/>
      <x:c r="U37" s="61"/>
      <x:c r="V37" s="61"/>
      <x:c r="W37" s="61"/>
      <x:c r="X37" s="61"/>
      <x:c r="Y37" s="61"/>
      <x:c r="Z37" s="61"/>
    </x:row>
    <x:row r="38">
      <x:c r="A38" s="61"/>
      <x:c r="B38" s="61"/>
      <x:c r="C38" s="61"/>
      <x:c r="D38" s="61"/>
      <x:c r="E38" s="61"/>
      <x:c r="F38" s="61"/>
      <x:c r="G38" s="61"/>
      <x:c r="H38" s="61"/>
      <x:c r="I38" s="61"/>
      <x:c r="J38" s="61"/>
      <x:c r="K38" s="61"/>
      <x:c r="L38" s="61"/>
      <x:c r="M38" s="61"/>
      <x:c r="N38" s="61"/>
      <x:c r="O38" s="61"/>
      <x:c r="P38" s="61"/>
      <x:c r="Q38" s="61"/>
      <x:c r="R38" s="61"/>
      <x:c r="S38" s="61"/>
      <x:c r="T38" s="61"/>
      <x:c r="U38" s="61"/>
      <x:c r="V38" s="61"/>
      <x:c r="W38" s="61"/>
      <x:c r="X38" s="61"/>
      <x:c r="Y38" s="61"/>
      <x:c r="Z38" s="61"/>
    </x:row>
    <x:row r="39">
      <x:c r="A39" s="61"/>
      <x:c r="B39" s="61"/>
      <x:c r="C39" s="61"/>
      <x:c r="D39" s="61"/>
      <x:c r="E39" s="61"/>
      <x:c r="F39" s="61"/>
      <x:c r="G39" s="61"/>
      <x:c r="H39" s="61"/>
      <x:c r="I39" s="61"/>
      <x:c r="J39" s="61"/>
      <x:c r="K39" s="61"/>
      <x:c r="L39" s="61"/>
      <x:c r="M39" s="61"/>
      <x:c r="N39" s="61"/>
      <x:c r="O39" s="61"/>
      <x:c r="P39" s="61"/>
      <x:c r="Q39" s="61"/>
      <x:c r="R39" s="61"/>
      <x:c r="S39" s="61"/>
      <x:c r="T39" s="61"/>
      <x:c r="U39" s="61"/>
      <x:c r="V39" s="61"/>
      <x:c r="W39" s="61"/>
      <x:c r="X39" s="61"/>
      <x:c r="Y39" s="61"/>
      <x:c r="Z39" s="61"/>
    </x:row>
    <x:row r="40">
      <x:c r="A40" s="61"/>
      <x:c r="B40" s="61"/>
      <x:c r="C40" s="61"/>
      <x:c r="D40" s="61"/>
      <x:c r="E40" s="61"/>
      <x:c r="F40" s="61"/>
      <x:c r="G40" s="61"/>
      <x:c r="H40" s="61"/>
      <x:c r="I40" s="61"/>
      <x:c r="J40" s="61"/>
      <x:c r="K40" s="61"/>
      <x:c r="L40" s="61"/>
      <x:c r="M40" s="61"/>
      <x:c r="N40" s="61"/>
      <x:c r="O40" s="61"/>
      <x:c r="P40" s="61"/>
      <x:c r="Q40" s="61"/>
      <x:c r="R40" s="61"/>
      <x:c r="S40" s="61"/>
      <x:c r="T40" s="61"/>
      <x:c r="U40" s="61"/>
      <x:c r="V40" s="61"/>
      <x:c r="W40" s="61"/>
      <x:c r="X40" s="61"/>
      <x:c r="Y40" s="61"/>
      <x:c r="Z40" s="61"/>
    </x:row>
    <x:row r="41">
      <x:c r="A41" s="61"/>
      <x:c r="B41" s="61"/>
      <x:c r="C41" s="61"/>
      <x:c r="D41" s="61"/>
      <x:c r="E41" s="61"/>
      <x:c r="F41" s="61"/>
      <x:c r="G41" s="61"/>
      <x:c r="H41" s="61"/>
      <x:c r="I41" s="61"/>
      <x:c r="J41" s="61"/>
      <x:c r="K41" s="61"/>
      <x:c r="L41" s="61"/>
      <x:c r="M41" s="61"/>
      <x:c r="N41" s="61"/>
      <x:c r="O41" s="61"/>
      <x:c r="P41" s="61"/>
      <x:c r="Q41" s="61"/>
      <x:c r="R41" s="61"/>
      <x:c r="S41" s="61"/>
      <x:c r="T41" s="61"/>
      <x:c r="U41" s="61"/>
      <x:c r="V41" s="61"/>
      <x:c r="W41" s="61"/>
      <x:c r="X41" s="61"/>
      <x:c r="Y41" s="61"/>
      <x:c r="Z41" s="61"/>
    </x:row>
    <x:row r="42">
      <x:c r="A42" s="61"/>
      <x:c r="B42" s="61"/>
      <x:c r="C42" s="61"/>
      <x:c r="D42" s="61"/>
      <x:c r="E42" s="61"/>
      <x:c r="F42" s="61"/>
      <x:c r="G42" s="61"/>
      <x:c r="H42" s="61"/>
      <x:c r="I42" s="61"/>
      <x:c r="J42" s="61"/>
      <x:c r="K42" s="61"/>
      <x:c r="L42" s="61"/>
      <x:c r="M42" s="61"/>
      <x:c r="N42" s="61"/>
      <x:c r="O42" s="61"/>
      <x:c r="P42" s="61"/>
      <x:c r="Q42" s="61"/>
      <x:c r="R42" s="61"/>
      <x:c r="S42" s="61"/>
      <x:c r="T42" s="61"/>
      <x:c r="U42" s="61"/>
      <x:c r="V42" s="61"/>
      <x:c r="W42" s="61"/>
      <x:c r="X42" s="61"/>
      <x:c r="Y42" s="61"/>
      <x:c r="Z42" s="61"/>
    </x:row>
    <x:row r="43">
      <x:c r="A43" s="61"/>
      <x:c r="B43" s="61"/>
      <x:c r="C43" s="61"/>
      <x:c r="D43" s="61"/>
      <x:c r="E43" s="61"/>
      <x:c r="F43" s="61"/>
      <x:c r="G43" s="61"/>
      <x:c r="H43" s="61"/>
      <x:c r="I43" s="61"/>
      <x:c r="J43" s="61"/>
      <x:c r="K43" s="61"/>
      <x:c r="L43" s="61"/>
      <x:c r="M43" s="61"/>
      <x:c r="N43" s="61"/>
      <x:c r="O43" s="61"/>
      <x:c r="P43" s="61"/>
      <x:c r="Q43" s="61"/>
      <x:c r="R43" s="61"/>
      <x:c r="S43" s="61"/>
      <x:c r="T43" s="61"/>
      <x:c r="U43" s="61"/>
      <x:c r="V43" s="61"/>
      <x:c r="W43" s="61"/>
      <x:c r="X43" s="61"/>
      <x:c r="Y43" s="61"/>
      <x:c r="Z43" s="61"/>
    </x:row>
    <x:row r="44">
      <x:c r="A44" s="61"/>
      <x:c r="B44" s="61"/>
      <x:c r="C44" s="61"/>
      <x:c r="D44" s="61"/>
      <x:c r="E44" s="61"/>
      <x:c r="F44" s="61"/>
      <x:c r="G44" s="61"/>
      <x:c r="H44" s="61"/>
      <x:c r="I44" s="61"/>
      <x:c r="J44" s="61"/>
      <x:c r="K44" s="61"/>
      <x:c r="L44" s="61"/>
      <x:c r="M44" s="61"/>
      <x:c r="N44" s="61"/>
      <x:c r="O44" s="61"/>
      <x:c r="P44" s="61"/>
      <x:c r="Q44" s="61"/>
      <x:c r="R44" s="61"/>
      <x:c r="S44" s="61"/>
      <x:c r="T44" s="61"/>
      <x:c r="U44" s="61"/>
      <x:c r="V44" s="61"/>
      <x:c r="W44" s="61"/>
      <x:c r="X44" s="61"/>
      <x:c r="Y44" s="61"/>
      <x:c r="Z44" s="61"/>
    </x:row>
    <x:row r="45">
      <x:c r="A45" s="61"/>
      <x:c r="B45" s="61"/>
      <x:c r="C45" s="61"/>
      <x:c r="D45" s="61"/>
      <x:c r="E45" s="61"/>
      <x:c r="F45" s="61"/>
      <x:c r="G45" s="61"/>
      <x:c r="H45" s="61"/>
      <x:c r="I45" s="61"/>
      <x:c r="J45" s="61"/>
      <x:c r="K45" s="61"/>
      <x:c r="L45" s="61"/>
      <x:c r="M45" s="61"/>
      <x:c r="N45" s="61"/>
      <x:c r="O45" s="61"/>
      <x:c r="P45" s="61"/>
      <x:c r="Q45" s="61"/>
      <x:c r="R45" s="61"/>
      <x:c r="S45" s="61"/>
      <x:c r="T45" s="61"/>
      <x:c r="U45" s="61"/>
      <x:c r="V45" s="61"/>
      <x:c r="W45" s="61"/>
      <x:c r="X45" s="61"/>
      <x:c r="Y45" s="61"/>
      <x:c r="Z45" s="61"/>
    </x:row>
    <x:row r="46">
      <x:c r="A46" s="61"/>
      <x:c r="B46" s="61"/>
      <x:c r="C46" s="61"/>
      <x:c r="D46" s="61"/>
      <x:c r="E46" s="61"/>
      <x:c r="F46" s="61"/>
      <x:c r="G46" s="61"/>
      <x:c r="H46" s="61"/>
      <x:c r="I46" s="61"/>
      <x:c r="J46" s="61"/>
      <x:c r="K46" s="61"/>
      <x:c r="L46" s="61"/>
      <x:c r="M46" s="61"/>
      <x:c r="N46" s="61"/>
      <x:c r="O46" s="61"/>
      <x:c r="P46" s="61"/>
      <x:c r="Q46" s="61"/>
      <x:c r="R46" s="61"/>
      <x:c r="S46" s="61"/>
      <x:c r="T46" s="61"/>
      <x:c r="U46" s="61"/>
      <x:c r="V46" s="61"/>
      <x:c r="W46" s="61"/>
      <x:c r="X46" s="61"/>
      <x:c r="Y46" s="61"/>
      <x:c r="Z46" s="61"/>
    </x:row>
    <x:row r="47">
      <x:c r="A47" s="61"/>
      <x:c r="B47" s="61"/>
      <x:c r="C47" s="61"/>
      <x:c r="D47" s="61"/>
      <x:c r="E47" s="61"/>
      <x:c r="F47" s="61"/>
      <x:c r="G47" s="61"/>
      <x:c r="H47" s="61"/>
      <x:c r="I47" s="61"/>
      <x:c r="J47" s="61"/>
      <x:c r="K47" s="61"/>
      <x:c r="L47" s="61"/>
      <x:c r="M47" s="61"/>
      <x:c r="N47" s="61"/>
      <x:c r="O47" s="61"/>
      <x:c r="P47" s="61"/>
      <x:c r="Q47" s="61"/>
      <x:c r="R47" s="61"/>
      <x:c r="S47" s="61"/>
      <x:c r="T47" s="61"/>
      <x:c r="U47" s="61"/>
      <x:c r="V47" s="61"/>
      <x:c r="W47" s="61"/>
      <x:c r="X47" s="61"/>
      <x:c r="Y47" s="61"/>
      <x:c r="Z47" s="61"/>
    </x:row>
    <x:row r="48">
      <x:c r="A48" s="61"/>
      <x:c r="B48" s="61"/>
      <x:c r="C48" s="61"/>
      <x:c r="D48" s="61"/>
      <x:c r="E48" s="61"/>
      <x:c r="F48" s="61"/>
      <x:c r="G48" s="61"/>
      <x:c r="H48" s="61"/>
      <x:c r="I48" s="61"/>
      <x:c r="J48" s="61"/>
      <x:c r="K48" s="61"/>
      <x:c r="L48" s="61"/>
      <x:c r="M48" s="61"/>
      <x:c r="N48" s="61"/>
      <x:c r="O48" s="61"/>
      <x:c r="P48" s="61"/>
      <x:c r="Q48" s="61"/>
      <x:c r="R48" s="61"/>
      <x:c r="S48" s="61"/>
      <x:c r="T48" s="61"/>
      <x:c r="U48" s="61"/>
      <x:c r="V48" s="61"/>
      <x:c r="W48" s="61"/>
      <x:c r="X48" s="61"/>
      <x:c r="Y48" s="61"/>
      <x:c r="Z48" s="61"/>
    </x:row>
    <x:row r="49">
      <x:c r="A49" s="61"/>
      <x:c r="B49" s="61"/>
      <x:c r="C49" s="61"/>
      <x:c r="D49" s="61"/>
      <x:c r="E49" s="61"/>
      <x:c r="F49" s="61"/>
      <x:c r="G49" s="61"/>
      <x:c r="H49" s="61"/>
      <x:c r="I49" s="61"/>
      <x:c r="J49" s="61"/>
      <x:c r="K49" s="61"/>
      <x:c r="L49" s="61"/>
      <x:c r="M49" s="61"/>
      <x:c r="N49" s="61"/>
      <x:c r="O49" s="61"/>
      <x:c r="P49" s="61"/>
      <x:c r="Q49" s="61"/>
      <x:c r="R49" s="61"/>
      <x:c r="S49" s="61"/>
      <x:c r="T49" s="61"/>
      <x:c r="U49" s="61"/>
      <x:c r="V49" s="61"/>
      <x:c r="W49" s="61"/>
      <x:c r="X49" s="61"/>
      <x:c r="Y49" s="61"/>
      <x:c r="Z49" s="61"/>
    </x:row>
    <x:row r="50">
      <x:c r="A50" s="61"/>
      <x:c r="B50" s="61"/>
      <x:c r="C50" s="61"/>
      <x:c r="D50" s="61"/>
      <x:c r="E50" s="61"/>
      <x:c r="F50" s="61"/>
      <x:c r="G50" s="61"/>
      <x:c r="H50" s="61"/>
      <x:c r="I50" s="61"/>
      <x:c r="J50" s="61"/>
      <x:c r="K50" s="61"/>
      <x:c r="L50" s="61"/>
      <x:c r="M50" s="61"/>
      <x:c r="N50" s="61"/>
      <x:c r="O50" s="61"/>
      <x:c r="P50" s="61"/>
      <x:c r="Q50" s="61"/>
      <x:c r="R50" s="61"/>
      <x:c r="S50" s="61"/>
      <x:c r="T50" s="61"/>
      <x:c r="U50" s="61"/>
      <x:c r="V50" s="61"/>
      <x:c r="W50" s="61"/>
      <x:c r="X50" s="61"/>
      <x:c r="Y50" s="61"/>
      <x:c r="Z50" s="61"/>
    </x:row>
    <x:row r="51">
      <x:c r="A51" s="61"/>
      <x:c r="B51" s="61"/>
      <x:c r="C51" s="61"/>
      <x:c r="D51" s="61"/>
      <x:c r="E51" s="61"/>
      <x:c r="F51" s="61"/>
      <x:c r="G51" s="61"/>
      <x:c r="H51" s="61"/>
      <x:c r="I51" s="61"/>
      <x:c r="J51" s="61"/>
      <x:c r="K51" s="61"/>
      <x:c r="L51" s="61"/>
      <x:c r="M51" s="61"/>
      <x:c r="N51" s="61"/>
      <x:c r="O51" s="61"/>
      <x:c r="P51" s="61"/>
      <x:c r="Q51" s="61"/>
      <x:c r="R51" s="61"/>
      <x:c r="S51" s="61"/>
      <x:c r="T51" s="61"/>
      <x:c r="U51" s="61"/>
      <x:c r="V51" s="61"/>
      <x:c r="W51" s="61"/>
      <x:c r="X51" s="61"/>
      <x:c r="Y51" s="61"/>
      <x:c r="Z51" s="61"/>
    </x:row>
    <x:row r="52">
      <x:c r="A52" s="61"/>
      <x:c r="B52" s="61"/>
      <x:c r="C52" s="61"/>
      <x:c r="D52" s="61"/>
      <x:c r="E52" s="61"/>
      <x:c r="F52" s="61"/>
      <x:c r="G52" s="61"/>
      <x:c r="H52" s="61"/>
      <x:c r="I52" s="61"/>
      <x:c r="J52" s="61"/>
      <x:c r="K52" s="61"/>
      <x:c r="L52" s="61"/>
      <x:c r="M52" s="61"/>
      <x:c r="N52" s="61"/>
      <x:c r="O52" s="61"/>
      <x:c r="P52" s="61"/>
      <x:c r="Q52" s="61"/>
      <x:c r="R52" s="61"/>
      <x:c r="S52" s="61"/>
      <x:c r="T52" s="61"/>
      <x:c r="U52" s="61"/>
      <x:c r="V52" s="61"/>
      <x:c r="W52" s="61"/>
      <x:c r="X52" s="61"/>
      <x:c r="Y52" s="61"/>
      <x:c r="Z52" s="61"/>
    </x:row>
    <x:row r="53">
      <x:c r="A53" s="61"/>
      <x:c r="B53" s="61"/>
      <x:c r="C53" s="61"/>
      <x:c r="D53" s="61"/>
      <x:c r="E53" s="61"/>
      <x:c r="F53" s="61"/>
      <x:c r="G53" s="61"/>
      <x:c r="H53" s="61"/>
      <x:c r="I53" s="61"/>
      <x:c r="J53" s="61"/>
      <x:c r="K53" s="61"/>
      <x:c r="L53" s="61"/>
      <x:c r="M53" s="61"/>
      <x:c r="N53" s="61"/>
      <x:c r="O53" s="61"/>
      <x:c r="P53" s="61"/>
      <x:c r="Q53" s="61"/>
      <x:c r="R53" s="61"/>
      <x:c r="S53" s="61"/>
      <x:c r="T53" s="61"/>
      <x:c r="U53" s="61"/>
      <x:c r="V53" s="61"/>
      <x:c r="W53" s="61"/>
      <x:c r="X53" s="61"/>
      <x:c r="Y53" s="61"/>
      <x:c r="Z53" s="61"/>
    </x:row>
    <x:row r="54">
      <x:c r="A54" s="61"/>
      <x:c r="B54" s="61"/>
      <x:c r="C54" s="61"/>
      <x:c r="D54" s="61"/>
      <x:c r="E54" s="61"/>
      <x:c r="F54" s="61"/>
      <x:c r="G54" s="61"/>
      <x:c r="H54" s="61"/>
      <x:c r="I54" s="61"/>
      <x:c r="J54" s="61"/>
      <x:c r="K54" s="61"/>
      <x:c r="L54" s="61"/>
      <x:c r="M54" s="61"/>
      <x:c r="N54" s="61"/>
      <x:c r="O54" s="61"/>
      <x:c r="P54" s="61"/>
      <x:c r="Q54" s="61"/>
      <x:c r="R54" s="61"/>
      <x:c r="S54" s="61"/>
      <x:c r="T54" s="61"/>
      <x:c r="U54" s="61"/>
      <x:c r="V54" s="61"/>
      <x:c r="W54" s="61"/>
      <x:c r="X54" s="61"/>
      <x:c r="Y54" s="61"/>
      <x:c r="Z54" s="61"/>
    </x:row>
    <x:row r="55">
      <x:c r="A55" s="61"/>
      <x:c r="B55" s="61"/>
      <x:c r="C55" s="61"/>
      <x:c r="D55" s="61"/>
      <x:c r="E55" s="61"/>
      <x:c r="F55" s="61"/>
      <x:c r="G55" s="61"/>
      <x:c r="H55" s="61"/>
      <x:c r="I55" s="61"/>
      <x:c r="J55" s="61"/>
      <x:c r="K55" s="61"/>
      <x:c r="L55" s="61"/>
      <x:c r="M55" s="61"/>
      <x:c r="N55" s="61"/>
      <x:c r="O55" s="61"/>
      <x:c r="P55" s="61"/>
      <x:c r="Q55" s="61"/>
      <x:c r="R55" s="61"/>
      <x:c r="S55" s="61"/>
      <x:c r="T55" s="61"/>
      <x:c r="U55" s="61"/>
      <x:c r="V55" s="61"/>
      <x:c r="W55" s="61"/>
      <x:c r="X55" s="61"/>
      <x:c r="Y55" s="61"/>
      <x:c r="Z55" s="61"/>
    </x:row>
    <x:row r="56">
      <x:c r="A56" s="61"/>
      <x:c r="B56" s="61"/>
      <x:c r="C56" s="61"/>
      <x:c r="D56" s="61"/>
      <x:c r="E56" s="61"/>
      <x:c r="F56" s="61"/>
      <x:c r="G56" s="61"/>
      <x:c r="H56" s="61"/>
      <x:c r="I56" s="61"/>
      <x:c r="J56" s="61"/>
      <x:c r="K56" s="61"/>
      <x:c r="L56" s="61"/>
      <x:c r="M56" s="61"/>
      <x:c r="N56" s="61"/>
      <x:c r="O56" s="61"/>
      <x:c r="P56" s="61"/>
      <x:c r="Q56" s="61"/>
      <x:c r="R56" s="61"/>
      <x:c r="S56" s="61"/>
      <x:c r="T56" s="61"/>
      <x:c r="U56" s="61"/>
      <x:c r="V56" s="61"/>
      <x:c r="W56" s="61"/>
      <x:c r="X56" s="61"/>
      <x:c r="Y56" s="61"/>
      <x:c r="Z56" s="61"/>
    </x:row>
    <x:row r="57">
      <x:c r="A57" s="61"/>
      <x:c r="B57" s="61"/>
      <x:c r="C57" s="61"/>
      <x:c r="D57" s="61"/>
      <x:c r="E57" s="61"/>
      <x:c r="F57" s="61"/>
      <x:c r="G57" s="61"/>
      <x:c r="H57" s="61"/>
      <x:c r="I57" s="61"/>
      <x:c r="J57" s="61"/>
      <x:c r="K57" s="61"/>
      <x:c r="L57" s="61"/>
      <x:c r="M57" s="61"/>
      <x:c r="N57" s="61"/>
      <x:c r="O57" s="61"/>
      <x:c r="P57" s="61"/>
      <x:c r="Q57" s="61"/>
      <x:c r="R57" s="61"/>
      <x:c r="S57" s="61"/>
      <x:c r="T57" s="61"/>
      <x:c r="U57" s="61"/>
      <x:c r="V57" s="61"/>
      <x:c r="W57" s="61"/>
      <x:c r="X57" s="61"/>
      <x:c r="Y57" s="61"/>
      <x:c r="Z57" s="61"/>
    </x:row>
    <x:row r="58">
      <x:c r="A58" s="61"/>
      <x:c r="B58" s="61"/>
      <x:c r="C58" s="61"/>
      <x:c r="D58" s="61"/>
      <x:c r="E58" s="61"/>
      <x:c r="F58" s="61"/>
      <x:c r="G58" s="61"/>
      <x:c r="H58" s="61"/>
      <x:c r="I58" s="61"/>
      <x:c r="J58" s="61"/>
      <x:c r="K58" s="61"/>
      <x:c r="L58" s="61"/>
      <x:c r="M58" s="61"/>
      <x:c r="N58" s="61"/>
      <x:c r="O58" s="61"/>
      <x:c r="P58" s="61"/>
      <x:c r="Q58" s="61"/>
      <x:c r="R58" s="61"/>
      <x:c r="S58" s="61"/>
      <x:c r="T58" s="61"/>
      <x:c r="U58" s="61"/>
      <x:c r="V58" s="61"/>
      <x:c r="W58" s="61"/>
      <x:c r="X58" s="61"/>
      <x:c r="Y58" s="61"/>
      <x:c r="Z58" s="61"/>
    </x:row>
    <x:row r="59">
      <x:c r="A59" s="61"/>
      <x:c r="B59" s="61"/>
      <x:c r="C59" s="61"/>
      <x:c r="D59" s="61"/>
      <x:c r="E59" s="61"/>
      <x:c r="F59" s="61"/>
      <x:c r="G59" s="61"/>
      <x:c r="H59" s="61"/>
      <x:c r="I59" s="61"/>
      <x:c r="J59" s="61"/>
      <x:c r="K59" s="61"/>
      <x:c r="L59" s="61"/>
      <x:c r="M59" s="61"/>
      <x:c r="N59" s="61"/>
      <x:c r="O59" s="61"/>
      <x:c r="P59" s="61"/>
      <x:c r="Q59" s="61"/>
      <x:c r="R59" s="61"/>
      <x:c r="S59" s="61"/>
      <x:c r="T59" s="61"/>
      <x:c r="U59" s="61"/>
      <x:c r="V59" s="61"/>
      <x:c r="W59" s="61"/>
      <x:c r="X59" s="61"/>
      <x:c r="Y59" s="61"/>
      <x:c r="Z59" s="61"/>
    </x:row>
    <x:row r="60">
      <x:c r="A60" s="61"/>
      <x:c r="B60" s="61"/>
      <x:c r="C60" s="61"/>
      <x:c r="D60" s="61"/>
      <x:c r="E60" s="61"/>
      <x:c r="F60" s="61"/>
      <x:c r="G60" s="61"/>
      <x:c r="H60" s="61"/>
      <x:c r="I60" s="61"/>
      <x:c r="J60" s="61"/>
      <x:c r="K60" s="61"/>
      <x:c r="L60" s="61"/>
      <x:c r="M60" s="61"/>
      <x:c r="N60" s="61"/>
      <x:c r="O60" s="61"/>
      <x:c r="P60" s="61"/>
      <x:c r="Q60" s="61"/>
      <x:c r="R60" s="61"/>
      <x:c r="S60" s="61"/>
      <x:c r="T60" s="61"/>
      <x:c r="U60" s="61"/>
      <x:c r="V60" s="61"/>
      <x:c r="W60" s="61"/>
      <x:c r="X60" s="61"/>
      <x:c r="Y60" s="61"/>
      <x:c r="Z60" s="61"/>
    </x:row>
    <x:row r="61">
      <x:c r="A61" s="61"/>
      <x:c r="B61" s="61"/>
      <x:c r="C61" s="61"/>
      <x:c r="D61" s="61"/>
      <x:c r="E61" s="61"/>
      <x:c r="F61" s="61"/>
      <x:c r="G61" s="61"/>
      <x:c r="H61" s="61"/>
      <x:c r="I61" s="61"/>
      <x:c r="J61" s="61"/>
      <x:c r="K61" s="61"/>
      <x:c r="L61" s="61"/>
      <x:c r="M61" s="61"/>
      <x:c r="N61" s="61"/>
      <x:c r="O61" s="61"/>
      <x:c r="P61" s="61"/>
      <x:c r="Q61" s="61"/>
      <x:c r="R61" s="61"/>
      <x:c r="S61" s="61"/>
      <x:c r="T61" s="61"/>
      <x:c r="U61" s="61"/>
      <x:c r="V61" s="61"/>
      <x:c r="W61" s="61"/>
      <x:c r="X61" s="61"/>
      <x:c r="Y61" s="61"/>
      <x:c r="Z61" s="61"/>
    </x:row>
    <x:row r="62">
      <x:c r="A62" s="61"/>
      <x:c r="B62" s="61"/>
      <x:c r="C62" s="61"/>
      <x:c r="D62" s="61"/>
      <x:c r="E62" s="61"/>
      <x:c r="F62" s="61"/>
      <x:c r="G62" s="61"/>
      <x:c r="H62" s="61"/>
      <x:c r="I62" s="61"/>
      <x:c r="J62" s="61"/>
      <x:c r="K62" s="61"/>
      <x:c r="L62" s="61"/>
      <x:c r="M62" s="61"/>
      <x:c r="N62" s="61"/>
      <x:c r="O62" s="61"/>
      <x:c r="P62" s="61"/>
      <x:c r="Q62" s="61"/>
      <x:c r="R62" s="61"/>
      <x:c r="S62" s="61"/>
      <x:c r="T62" s="61"/>
      <x:c r="U62" s="61"/>
      <x:c r="V62" s="61"/>
      <x:c r="W62" s="61"/>
      <x:c r="X62" s="61"/>
      <x:c r="Y62" s="61"/>
      <x:c r="Z62" s="61"/>
    </x:row>
    <x:row r="63">
      <x:c r="A63" s="61"/>
      <x:c r="B63" s="61"/>
      <x:c r="C63" s="61"/>
      <x:c r="D63" s="61"/>
      <x:c r="E63" s="61"/>
      <x:c r="F63" s="61"/>
      <x:c r="G63" s="61"/>
      <x:c r="H63" s="61"/>
      <x:c r="I63" s="61"/>
      <x:c r="J63" s="61"/>
      <x:c r="K63" s="61"/>
      <x:c r="L63" s="61"/>
      <x:c r="M63" s="61"/>
      <x:c r="N63" s="61"/>
      <x:c r="O63" s="61"/>
      <x:c r="P63" s="61"/>
      <x:c r="Q63" s="61"/>
      <x:c r="R63" s="61"/>
      <x:c r="S63" s="61"/>
      <x:c r="T63" s="61"/>
      <x:c r="U63" s="61"/>
      <x:c r="V63" s="61"/>
      <x:c r="W63" s="61"/>
      <x:c r="X63" s="61"/>
      <x:c r="Y63" s="61"/>
      <x:c r="Z63" s="61"/>
    </x:row>
    <x:row r="64">
      <x:c r="A64" s="61"/>
      <x:c r="B64" s="61"/>
      <x:c r="C64" s="61"/>
      <x:c r="D64" s="61"/>
      <x:c r="E64" s="61"/>
      <x:c r="F64" s="61"/>
      <x:c r="G64" s="61"/>
      <x:c r="H64" s="61"/>
      <x:c r="I64" s="61"/>
      <x:c r="J64" s="61"/>
      <x:c r="K64" s="61"/>
      <x:c r="L64" s="61"/>
      <x:c r="M64" s="61"/>
      <x:c r="N64" s="61"/>
      <x:c r="O64" s="61"/>
      <x:c r="P64" s="61"/>
      <x:c r="Q64" s="61"/>
      <x:c r="R64" s="61"/>
      <x:c r="S64" s="61"/>
      <x:c r="T64" s="61"/>
      <x:c r="U64" s="61"/>
      <x:c r="V64" s="61"/>
      <x:c r="W64" s="61"/>
      <x:c r="X64" s="61"/>
      <x:c r="Y64" s="61"/>
      <x:c r="Z64" s="61"/>
    </x:row>
    <x:row r="65">
      <x:c r="A65" s="61"/>
      <x:c r="B65" s="61"/>
      <x:c r="C65" s="61"/>
      <x:c r="D65" s="61"/>
      <x:c r="E65" s="61"/>
      <x:c r="F65" s="61"/>
      <x:c r="G65" s="61"/>
      <x:c r="H65" s="61"/>
      <x:c r="I65" s="61"/>
      <x:c r="J65" s="61"/>
      <x:c r="K65" s="61"/>
      <x:c r="L65" s="61"/>
      <x:c r="M65" s="61"/>
      <x:c r="N65" s="61"/>
      <x:c r="O65" s="61"/>
      <x:c r="P65" s="61"/>
      <x:c r="Q65" s="61"/>
      <x:c r="R65" s="61"/>
      <x:c r="S65" s="61"/>
      <x:c r="T65" s="61"/>
      <x:c r="U65" s="61"/>
      <x:c r="V65" s="61"/>
      <x:c r="W65" s="61"/>
      <x:c r="X65" s="61"/>
      <x:c r="Y65" s="61"/>
      <x:c r="Z65" s="61"/>
    </x:row>
    <x:row r="66">
      <x:c r="A66" s="61"/>
      <x:c r="B66" s="61"/>
      <x:c r="C66" s="61"/>
      <x:c r="D66" s="61"/>
      <x:c r="E66" s="61"/>
      <x:c r="F66" s="61"/>
      <x:c r="G66" s="61"/>
      <x:c r="H66" s="61"/>
      <x:c r="I66" s="61"/>
      <x:c r="J66" s="61"/>
      <x:c r="K66" s="61"/>
      <x:c r="L66" s="61"/>
      <x:c r="M66" s="61"/>
      <x:c r="N66" s="61"/>
      <x:c r="O66" s="61"/>
      <x:c r="P66" s="61"/>
      <x:c r="Q66" s="61"/>
      <x:c r="R66" s="61"/>
      <x:c r="S66" s="61"/>
      <x:c r="T66" s="61"/>
      <x:c r="U66" s="61"/>
      <x:c r="V66" s="61"/>
      <x:c r="W66" s="61"/>
      <x:c r="X66" s="61"/>
      <x:c r="Y66" s="61"/>
      <x:c r="Z66" s="61"/>
    </x:row>
    <x:row r="67">
      <x:c r="A67" s="61"/>
      <x:c r="B67" s="61"/>
      <x:c r="C67" s="61"/>
      <x:c r="D67" s="61"/>
      <x:c r="E67" s="61"/>
      <x:c r="F67" s="61"/>
      <x:c r="G67" s="61"/>
      <x:c r="H67" s="61"/>
      <x:c r="I67" s="61"/>
      <x:c r="J67" s="61"/>
      <x:c r="K67" s="61"/>
      <x:c r="L67" s="61"/>
      <x:c r="M67" s="61"/>
      <x:c r="N67" s="61"/>
      <x:c r="O67" s="61"/>
      <x:c r="P67" s="61"/>
      <x:c r="Q67" s="61"/>
      <x:c r="R67" s="61"/>
      <x:c r="S67" s="61"/>
      <x:c r="T67" s="61"/>
      <x:c r="U67" s="61"/>
      <x:c r="V67" s="61"/>
      <x:c r="W67" s="61"/>
      <x:c r="X67" s="61"/>
      <x:c r="Y67" s="61"/>
      <x:c r="Z67" s="61"/>
    </x:row>
    <x:row r="68">
      <x:c r="A68" s="61"/>
      <x:c r="B68" s="61"/>
      <x:c r="C68" s="61"/>
      <x:c r="D68" s="61"/>
      <x:c r="E68" s="61"/>
      <x:c r="F68" s="61"/>
      <x:c r="G68" s="61"/>
      <x:c r="H68" s="61"/>
      <x:c r="I68" s="61"/>
      <x:c r="J68" s="61"/>
      <x:c r="K68" s="61"/>
      <x:c r="L68" s="61"/>
      <x:c r="M68" s="61"/>
      <x:c r="N68" s="61"/>
      <x:c r="O68" s="61"/>
      <x:c r="P68" s="61"/>
      <x:c r="Q68" s="61"/>
      <x:c r="R68" s="61"/>
      <x:c r="S68" s="61"/>
      <x:c r="T68" s="61"/>
      <x:c r="U68" s="61"/>
      <x:c r="V68" s="61"/>
      <x:c r="W68" s="61"/>
      <x:c r="X68" s="61"/>
      <x:c r="Y68" s="61"/>
      <x:c r="Z68" s="61"/>
    </x:row>
    <x:row r="69">
      <x:c r="A69" s="61"/>
      <x:c r="B69" s="61"/>
      <x:c r="C69" s="61"/>
      <x:c r="D69" s="61"/>
      <x:c r="E69" s="61"/>
      <x:c r="F69" s="61"/>
      <x:c r="G69" s="61"/>
      <x:c r="H69" s="61"/>
      <x:c r="I69" s="61"/>
      <x:c r="J69" s="61"/>
      <x:c r="K69" s="61"/>
      <x:c r="L69" s="61"/>
      <x:c r="M69" s="61"/>
      <x:c r="N69" s="61"/>
      <x:c r="O69" s="61"/>
      <x:c r="P69" s="61"/>
      <x:c r="Q69" s="61"/>
      <x:c r="R69" s="61"/>
      <x:c r="S69" s="61"/>
      <x:c r="T69" s="61"/>
      <x:c r="U69" s="61"/>
      <x:c r="V69" s="61"/>
      <x:c r="W69" s="61"/>
      <x:c r="X69" s="61"/>
      <x:c r="Y69" s="61"/>
      <x:c r="Z69" s="61"/>
    </x:row>
    <x:row r="70">
      <x:c r="A70" s="61"/>
      <x:c r="B70" s="61"/>
      <x:c r="C70" s="61"/>
      <x:c r="D70" s="61"/>
      <x:c r="E70" s="61"/>
      <x:c r="F70" s="61"/>
      <x:c r="G70" s="61"/>
      <x:c r="H70" s="61"/>
      <x:c r="I70" s="61"/>
      <x:c r="J70" s="61"/>
      <x:c r="K70" s="61"/>
      <x:c r="L70" s="61"/>
      <x:c r="M70" s="61"/>
      <x:c r="N70" s="61"/>
      <x:c r="O70" s="61"/>
      <x:c r="P70" s="61"/>
      <x:c r="Q70" s="61"/>
      <x:c r="R70" s="61"/>
      <x:c r="S70" s="61"/>
      <x:c r="T70" s="61"/>
      <x:c r="U70" s="61"/>
      <x:c r="V70" s="61"/>
      <x:c r="W70" s="61"/>
      <x:c r="X70" s="61"/>
      <x:c r="Y70" s="61"/>
      <x:c r="Z70" s="61"/>
    </x:row>
    <x:row r="71">
      <x:c r="A71" s="61"/>
      <x:c r="B71" s="61"/>
      <x:c r="C71" s="61"/>
      <x:c r="D71" s="61"/>
      <x:c r="E71" s="61"/>
      <x:c r="F71" s="61"/>
      <x:c r="G71" s="61"/>
      <x:c r="H71" s="61"/>
      <x:c r="I71" s="61"/>
      <x:c r="J71" s="61"/>
      <x:c r="K71" s="61"/>
      <x:c r="L71" s="61"/>
      <x:c r="M71" s="61"/>
      <x:c r="N71" s="61"/>
      <x:c r="O71" s="61"/>
      <x:c r="P71" s="61"/>
      <x:c r="Q71" s="61"/>
      <x:c r="R71" s="61"/>
      <x:c r="S71" s="61"/>
      <x:c r="T71" s="61"/>
      <x:c r="U71" s="61"/>
      <x:c r="V71" s="61"/>
      <x:c r="W71" s="61"/>
      <x:c r="X71" s="61"/>
      <x:c r="Y71" s="61"/>
      <x:c r="Z71" s="61"/>
    </x:row>
    <x:row r="72">
      <x:c r="A72" s="61"/>
      <x:c r="B72" s="61"/>
      <x:c r="C72" s="61"/>
      <x:c r="D72" s="61"/>
      <x:c r="E72" s="61"/>
      <x:c r="F72" s="61"/>
      <x:c r="G72" s="61"/>
      <x:c r="H72" s="61"/>
      <x:c r="I72" s="61"/>
      <x:c r="J72" s="61"/>
      <x:c r="K72" s="61"/>
      <x:c r="L72" s="61"/>
      <x:c r="M72" s="61"/>
      <x:c r="N72" s="61"/>
      <x:c r="O72" s="61"/>
      <x:c r="P72" s="61"/>
      <x:c r="Q72" s="61"/>
      <x:c r="R72" s="61"/>
      <x:c r="S72" s="61"/>
      <x:c r="T72" s="61"/>
      <x:c r="U72" s="61"/>
      <x:c r="V72" s="61"/>
      <x:c r="W72" s="61"/>
      <x:c r="X72" s="61"/>
      <x:c r="Y72" s="61"/>
      <x:c r="Z72" s="61"/>
    </x:row>
    <x:row r="73">
      <x:c r="A73" s="61"/>
      <x:c r="B73" s="61"/>
      <x:c r="C73" s="61"/>
      <x:c r="D73" s="61"/>
      <x:c r="E73" s="61"/>
      <x:c r="F73" s="61"/>
      <x:c r="G73" s="61"/>
      <x:c r="H73" s="61"/>
      <x:c r="I73" s="61"/>
      <x:c r="J73" s="61"/>
      <x:c r="K73" s="61"/>
      <x:c r="L73" s="61"/>
      <x:c r="M73" s="61"/>
      <x:c r="N73" s="61"/>
      <x:c r="O73" s="61"/>
      <x:c r="P73" s="61"/>
      <x:c r="Q73" s="61"/>
      <x:c r="R73" s="61"/>
      <x:c r="S73" s="61"/>
      <x:c r="T73" s="61"/>
      <x:c r="U73" s="61"/>
      <x:c r="V73" s="61"/>
      <x:c r="W73" s="61"/>
      <x:c r="X73" s="61"/>
      <x:c r="Y73" s="61"/>
      <x:c r="Z73" s="61"/>
    </x:row>
    <x:row r="74">
      <x:c r="A74" s="61"/>
      <x:c r="B74" s="61"/>
      <x:c r="C74" s="61"/>
      <x:c r="D74" s="61"/>
      <x:c r="E74" s="61"/>
      <x:c r="F74" s="61"/>
      <x:c r="G74" s="61"/>
      <x:c r="H74" s="61"/>
      <x:c r="I74" s="61"/>
      <x:c r="J74" s="61"/>
      <x:c r="K74" s="61"/>
      <x:c r="L74" s="61"/>
      <x:c r="M74" s="61"/>
      <x:c r="N74" s="61"/>
      <x:c r="O74" s="61"/>
      <x:c r="P74" s="61"/>
      <x:c r="Q74" s="61"/>
      <x:c r="R74" s="61"/>
      <x:c r="S74" s="61"/>
      <x:c r="T74" s="61"/>
      <x:c r="U74" s="61"/>
      <x:c r="V74" s="61"/>
      <x:c r="W74" s="61"/>
      <x:c r="X74" s="61"/>
      <x:c r="Y74" s="61"/>
      <x:c r="Z74" s="61"/>
    </x:row>
    <x:row r="75">
      <x:c r="A75" s="61"/>
      <x:c r="B75" s="61"/>
      <x:c r="C75" s="61"/>
      <x:c r="D75" s="61"/>
      <x:c r="E75" s="61"/>
      <x:c r="F75" s="61"/>
      <x:c r="G75" s="61"/>
      <x:c r="H75" s="61"/>
      <x:c r="I75" s="61"/>
      <x:c r="J75" s="61"/>
      <x:c r="K75" s="61"/>
      <x:c r="L75" s="61"/>
      <x:c r="M75" s="61"/>
      <x:c r="N75" s="61"/>
      <x:c r="O75" s="61"/>
      <x:c r="P75" s="61"/>
      <x:c r="Q75" s="61"/>
      <x:c r="R75" s="61"/>
      <x:c r="S75" s="61"/>
      <x:c r="T75" s="61"/>
      <x:c r="U75" s="61"/>
      <x:c r="V75" s="61"/>
      <x:c r="W75" s="61"/>
      <x:c r="X75" s="61"/>
      <x:c r="Y75" s="61"/>
      <x:c r="Z75" s="61"/>
    </x:row>
    <x:row r="76">
      <x:c r="A76" s="61"/>
      <x:c r="B76" s="61"/>
      <x:c r="C76" s="61"/>
      <x:c r="D76" s="61"/>
      <x:c r="E76" s="61"/>
      <x:c r="F76" s="61"/>
      <x:c r="G76" s="61"/>
      <x:c r="H76" s="61"/>
      <x:c r="I76" s="61"/>
      <x:c r="J76" s="61"/>
      <x:c r="K76" s="61"/>
      <x:c r="L76" s="61"/>
      <x:c r="M76" s="61"/>
      <x:c r="N76" s="61"/>
      <x:c r="O76" s="61"/>
      <x:c r="P76" s="61"/>
      <x:c r="Q76" s="61"/>
      <x:c r="R76" s="61"/>
      <x:c r="S76" s="61"/>
      <x:c r="T76" s="61"/>
      <x:c r="U76" s="61"/>
      <x:c r="V76" s="61"/>
      <x:c r="W76" s="61"/>
      <x:c r="X76" s="61"/>
      <x:c r="Y76" s="61"/>
      <x:c r="Z76" s="61"/>
    </x:row>
    <x:row r="77">
      <x:c r="A77" s="61"/>
      <x:c r="B77" s="61"/>
      <x:c r="C77" s="61"/>
      <x:c r="D77" s="61"/>
      <x:c r="E77" s="61"/>
      <x:c r="F77" s="61"/>
      <x:c r="G77" s="61"/>
      <x:c r="H77" s="61"/>
      <x:c r="I77" s="61"/>
      <x:c r="J77" s="61"/>
      <x:c r="K77" s="61"/>
      <x:c r="L77" s="61"/>
      <x:c r="M77" s="61"/>
      <x:c r="N77" s="61"/>
      <x:c r="O77" s="61"/>
      <x:c r="P77" s="61"/>
      <x:c r="Q77" s="61"/>
      <x:c r="R77" s="61"/>
      <x:c r="S77" s="61"/>
      <x:c r="T77" s="61"/>
      <x:c r="U77" s="61"/>
      <x:c r="V77" s="61"/>
      <x:c r="W77" s="61"/>
      <x:c r="X77" s="61"/>
      <x:c r="Y77" s="61"/>
      <x:c r="Z77" s="61"/>
    </x:row>
    <x:row r="78">
      <x:c r="A78" s="61"/>
      <x:c r="B78" s="61"/>
      <x:c r="C78" s="61"/>
      <x:c r="D78" s="61"/>
      <x:c r="E78" s="61"/>
      <x:c r="F78" s="61"/>
      <x:c r="G78" s="61"/>
      <x:c r="H78" s="61"/>
      <x:c r="I78" s="61"/>
      <x:c r="J78" s="61"/>
      <x:c r="K78" s="61"/>
      <x:c r="L78" s="61"/>
      <x:c r="M78" s="61"/>
      <x:c r="N78" s="61"/>
      <x:c r="O78" s="61"/>
      <x:c r="P78" s="61"/>
      <x:c r="Q78" s="61"/>
      <x:c r="R78" s="61"/>
      <x:c r="S78" s="61"/>
      <x:c r="T78" s="61"/>
      <x:c r="U78" s="61"/>
      <x:c r="V78" s="61"/>
      <x:c r="W78" s="61"/>
      <x:c r="X78" s="61"/>
      <x:c r="Y78" s="61"/>
      <x:c r="Z78" s="61"/>
    </x:row>
    <x:row r="79">
      <x:c r="A79" s="61"/>
      <x:c r="B79" s="61"/>
      <x:c r="C79" s="61"/>
      <x:c r="D79" s="61"/>
      <x:c r="E79" s="61"/>
      <x:c r="F79" s="61"/>
      <x:c r="G79" s="61"/>
      <x:c r="H79" s="61"/>
      <x:c r="I79" s="61"/>
      <x:c r="J79" s="61"/>
      <x:c r="K79" s="61"/>
      <x:c r="L79" s="61"/>
      <x:c r="M79" s="61"/>
      <x:c r="N79" s="61"/>
      <x:c r="O79" s="61"/>
      <x:c r="P79" s="61"/>
      <x:c r="Q79" s="61"/>
      <x:c r="R79" s="61"/>
      <x:c r="S79" s="61"/>
      <x:c r="T79" s="61"/>
      <x:c r="U79" s="61"/>
      <x:c r="V79" s="61"/>
      <x:c r="W79" s="61"/>
      <x:c r="X79" s="61"/>
      <x:c r="Y79" s="61"/>
      <x:c r="Z79" s="61"/>
    </x:row>
    <x:row r="80">
      <x:c r="A80" s="61"/>
      <x:c r="B80" s="61"/>
      <x:c r="C80" s="61"/>
      <x:c r="D80" s="61"/>
      <x:c r="E80" s="61"/>
      <x:c r="F80" s="61"/>
      <x:c r="G80" s="61"/>
      <x:c r="H80" s="61"/>
      <x:c r="I80" s="61"/>
      <x:c r="J80" s="61"/>
      <x:c r="K80" s="61"/>
      <x:c r="L80" s="61"/>
      <x:c r="M80" s="61"/>
      <x:c r="N80" s="61"/>
      <x:c r="O80" s="61"/>
      <x:c r="P80" s="61"/>
      <x:c r="Q80" s="61"/>
      <x:c r="R80" s="61"/>
      <x:c r="S80" s="61"/>
      <x:c r="T80" s="61"/>
      <x:c r="U80" s="61"/>
      <x:c r="V80" s="61"/>
      <x:c r="W80" s="61"/>
      <x:c r="X80" s="61"/>
      <x:c r="Y80" s="61"/>
      <x:c r="Z80" s="61"/>
    </x:row>
    <x:row r="81">
      <x:c r="A81" s="61"/>
      <x:c r="B81" s="61"/>
      <x:c r="C81" s="61"/>
      <x:c r="D81" s="61"/>
      <x:c r="E81" s="61"/>
      <x:c r="F81" s="61"/>
      <x:c r="G81" s="61"/>
      <x:c r="H81" s="61"/>
      <x:c r="I81" s="61"/>
      <x:c r="J81" s="61"/>
      <x:c r="K81" s="61"/>
      <x:c r="L81" s="61"/>
      <x:c r="M81" s="61"/>
      <x:c r="N81" s="61"/>
      <x:c r="O81" s="61"/>
      <x:c r="P81" s="61"/>
      <x:c r="Q81" s="61"/>
      <x:c r="R81" s="61"/>
      <x:c r="S81" s="61"/>
      <x:c r="T81" s="61"/>
      <x:c r="U81" s="61"/>
      <x:c r="V81" s="61"/>
      <x:c r="W81" s="61"/>
      <x:c r="X81" s="61"/>
      <x:c r="Y81" s="61"/>
      <x:c r="Z81" s="61"/>
    </x:row>
    <x:row r="82">
      <x:c r="A82" s="61"/>
      <x:c r="B82" s="61"/>
      <x:c r="C82" s="61"/>
      <x:c r="D82" s="61"/>
      <x:c r="E82" s="61"/>
      <x:c r="F82" s="61"/>
      <x:c r="G82" s="61"/>
      <x:c r="H82" s="61"/>
      <x:c r="I82" s="61"/>
      <x:c r="J82" s="61"/>
      <x:c r="K82" s="61"/>
      <x:c r="L82" s="61"/>
      <x:c r="M82" s="61"/>
      <x:c r="N82" s="61"/>
      <x:c r="O82" s="61"/>
      <x:c r="P82" s="61"/>
      <x:c r="Q82" s="61"/>
      <x:c r="R82" s="61"/>
      <x:c r="S82" s="61"/>
      <x:c r="T82" s="61"/>
      <x:c r="U82" s="61"/>
      <x:c r="V82" s="61"/>
      <x:c r="W82" s="61"/>
      <x:c r="X82" s="61"/>
      <x:c r="Y82" s="61"/>
      <x:c r="Z82" s="61"/>
    </x:row>
    <x:row r="83">
      <x:c r="A83" s="61"/>
      <x:c r="B83" s="61"/>
      <x:c r="C83" s="61"/>
      <x:c r="D83" s="61"/>
      <x:c r="E83" s="61"/>
      <x:c r="F83" s="61"/>
      <x:c r="G83" s="61"/>
      <x:c r="H83" s="61"/>
      <x:c r="I83" s="61"/>
      <x:c r="J83" s="61"/>
      <x:c r="K83" s="61"/>
      <x:c r="L83" s="61"/>
      <x:c r="M83" s="61"/>
      <x:c r="N83" s="61"/>
      <x:c r="O83" s="61"/>
      <x:c r="P83" s="61"/>
      <x:c r="Q83" s="61"/>
      <x:c r="R83" s="61"/>
      <x:c r="S83" s="61"/>
      <x:c r="T83" s="61"/>
      <x:c r="U83" s="61"/>
      <x:c r="V83" s="61"/>
      <x:c r="W83" s="61"/>
      <x:c r="X83" s="61"/>
      <x:c r="Y83" s="61"/>
      <x:c r="Z83" s="61"/>
    </x:row>
    <x:row r="84">
      <x:c r="A84" s="61"/>
      <x:c r="B84" s="61"/>
      <x:c r="C84" s="61"/>
      <x:c r="D84" s="61"/>
      <x:c r="E84" s="61"/>
      <x:c r="F84" s="61"/>
      <x:c r="G84" s="61"/>
      <x:c r="H84" s="61"/>
      <x:c r="I84" s="61"/>
      <x:c r="J84" s="61"/>
      <x:c r="K84" s="61"/>
      <x:c r="L84" s="61"/>
      <x:c r="M84" s="61"/>
      <x:c r="N84" s="61"/>
      <x:c r="O84" s="61"/>
      <x:c r="P84" s="61"/>
      <x:c r="Q84" s="61"/>
      <x:c r="R84" s="61"/>
      <x:c r="S84" s="61"/>
      <x:c r="T84" s="61"/>
      <x:c r="U84" s="61"/>
      <x:c r="V84" s="61"/>
      <x:c r="W84" s="61"/>
      <x:c r="X84" s="61"/>
      <x:c r="Y84" s="61"/>
      <x:c r="Z84" s="61"/>
    </x:row>
    <x:row r="85">
      <x:c r="A85" s="61"/>
      <x:c r="B85" s="61"/>
      <x:c r="C85" s="61"/>
      <x:c r="D85" s="61"/>
      <x:c r="E85" s="61"/>
      <x:c r="F85" s="61"/>
      <x:c r="G85" s="61"/>
      <x:c r="H85" s="61"/>
      <x:c r="I85" s="61"/>
      <x:c r="J85" s="61"/>
      <x:c r="K85" s="61"/>
      <x:c r="L85" s="61"/>
      <x:c r="M85" s="61"/>
      <x:c r="N85" s="61"/>
      <x:c r="O85" s="61"/>
      <x:c r="P85" s="61"/>
      <x:c r="Q85" s="61"/>
      <x:c r="R85" s="61"/>
      <x:c r="S85" s="61"/>
      <x:c r="T85" s="61"/>
      <x:c r="U85" s="61"/>
      <x:c r="V85" s="61"/>
      <x:c r="W85" s="61"/>
      <x:c r="X85" s="61"/>
      <x:c r="Y85" s="61"/>
      <x:c r="Z85" s="61"/>
    </x:row>
    <x:row r="86">
      <x:c r="A86" s="61"/>
      <x:c r="B86" s="61"/>
      <x:c r="C86" s="61"/>
      <x:c r="D86" s="61"/>
      <x:c r="E86" s="61"/>
      <x:c r="F86" s="61"/>
      <x:c r="G86" s="61"/>
      <x:c r="H86" s="61"/>
      <x:c r="I86" s="61"/>
      <x:c r="J86" s="61"/>
      <x:c r="K86" s="61"/>
      <x:c r="L86" s="61"/>
      <x:c r="M86" s="61"/>
      <x:c r="N86" s="61"/>
      <x:c r="O86" s="61"/>
      <x:c r="P86" s="61"/>
      <x:c r="Q86" s="61"/>
      <x:c r="R86" s="61"/>
      <x:c r="S86" s="61"/>
      <x:c r="T86" s="61"/>
      <x:c r="U86" s="61"/>
      <x:c r="V86" s="61"/>
      <x:c r="W86" s="61"/>
      <x:c r="X86" s="61"/>
      <x:c r="Y86" s="61"/>
      <x:c r="Z86" s="61"/>
    </x:row>
    <x:row r="87">
      <x:c r="A87" s="61"/>
      <x:c r="B87" s="61"/>
      <x:c r="C87" s="61"/>
      <x:c r="D87" s="61"/>
      <x:c r="E87" s="61"/>
      <x:c r="F87" s="61"/>
      <x:c r="G87" s="61"/>
      <x:c r="H87" s="61"/>
      <x:c r="I87" s="61"/>
      <x:c r="J87" s="61"/>
      <x:c r="K87" s="61"/>
      <x:c r="L87" s="61"/>
      <x:c r="M87" s="61"/>
      <x:c r="N87" s="61"/>
      <x:c r="O87" s="61"/>
      <x:c r="P87" s="61"/>
      <x:c r="Q87" s="61"/>
      <x:c r="R87" s="61"/>
      <x:c r="S87" s="61"/>
      <x:c r="T87" s="61"/>
      <x:c r="U87" s="61"/>
      <x:c r="V87" s="61"/>
      <x:c r="W87" s="61"/>
      <x:c r="X87" s="61"/>
      <x:c r="Y87" s="61"/>
      <x:c r="Z87" s="61"/>
    </x:row>
    <x:row r="88">
      <x:c r="A88" s="61"/>
      <x:c r="B88" s="61"/>
      <x:c r="C88" s="61"/>
      <x:c r="D88" s="61"/>
      <x:c r="E88" s="61"/>
      <x:c r="F88" s="61"/>
      <x:c r="G88" s="61"/>
      <x:c r="H88" s="61"/>
      <x:c r="I88" s="61"/>
      <x:c r="J88" s="61"/>
      <x:c r="K88" s="61"/>
      <x:c r="L88" s="61"/>
      <x:c r="M88" s="61"/>
      <x:c r="N88" s="61"/>
      <x:c r="O88" s="61"/>
      <x:c r="P88" s="61"/>
      <x:c r="Q88" s="61"/>
      <x:c r="R88" s="61"/>
      <x:c r="S88" s="61"/>
      <x:c r="T88" s="61"/>
      <x:c r="U88" s="61"/>
      <x:c r="V88" s="61"/>
      <x:c r="W88" s="61"/>
      <x:c r="X88" s="61"/>
      <x:c r="Y88" s="61"/>
      <x:c r="Z88" s="61"/>
    </x:row>
    <x:row r="89">
      <x:c r="A89" s="61"/>
      <x:c r="B89" s="61"/>
      <x:c r="C89" s="61"/>
      <x:c r="D89" s="61"/>
      <x:c r="E89" s="61"/>
      <x:c r="F89" s="61"/>
      <x:c r="G89" s="61"/>
      <x:c r="H89" s="61"/>
      <x:c r="I89" s="61"/>
      <x:c r="J89" s="61"/>
      <x:c r="K89" s="61"/>
      <x:c r="L89" s="61"/>
      <x:c r="M89" s="61"/>
      <x:c r="N89" s="61"/>
      <x:c r="O89" s="61"/>
      <x:c r="P89" s="61"/>
      <x:c r="Q89" s="61"/>
      <x:c r="R89" s="61"/>
      <x:c r="S89" s="61"/>
      <x:c r="T89" s="61"/>
      <x:c r="U89" s="61"/>
      <x:c r="V89" s="61"/>
      <x:c r="W89" s="61"/>
      <x:c r="X89" s="61"/>
      <x:c r="Y89" s="61"/>
      <x:c r="Z89" s="61"/>
    </x:row>
    <x:row r="90">
      <x:c r="A90" s="61"/>
      <x:c r="B90" s="61"/>
      <x:c r="C90" s="61"/>
      <x:c r="D90" s="61"/>
      <x:c r="E90" s="61"/>
      <x:c r="F90" s="61"/>
      <x:c r="G90" s="61"/>
      <x:c r="H90" s="61"/>
      <x:c r="I90" s="61"/>
      <x:c r="J90" s="61"/>
      <x:c r="K90" s="61"/>
      <x:c r="L90" s="61"/>
      <x:c r="M90" s="61"/>
      <x:c r="N90" s="61"/>
      <x:c r="O90" s="61"/>
      <x:c r="P90" s="61"/>
      <x:c r="Q90" s="61"/>
      <x:c r="R90" s="61"/>
      <x:c r="S90" s="61"/>
      <x:c r="T90" s="61"/>
      <x:c r="U90" s="61"/>
      <x:c r="V90" s="61"/>
      <x:c r="W90" s="61"/>
      <x:c r="X90" s="61"/>
      <x:c r="Y90" s="61"/>
      <x:c r="Z90" s="61"/>
    </x:row>
    <x:row r="91">
      <x:c r="A91" s="61"/>
      <x:c r="B91" s="61"/>
      <x:c r="C91" s="61"/>
      <x:c r="D91" s="61"/>
      <x:c r="E91" s="61"/>
      <x:c r="F91" s="61"/>
      <x:c r="G91" s="61"/>
      <x:c r="H91" s="61"/>
      <x:c r="I91" s="61"/>
      <x:c r="J91" s="61"/>
      <x:c r="K91" s="61"/>
      <x:c r="L91" s="61"/>
      <x:c r="M91" s="61"/>
      <x:c r="N91" s="61"/>
      <x:c r="O91" s="61"/>
      <x:c r="P91" s="61"/>
      <x:c r="Q91" s="61"/>
      <x:c r="R91" s="61"/>
      <x:c r="S91" s="61"/>
      <x:c r="T91" s="61"/>
      <x:c r="U91" s="61"/>
      <x:c r="V91" s="61"/>
      <x:c r="W91" s="61"/>
      <x:c r="X91" s="61"/>
      <x:c r="Y91" s="61"/>
      <x:c r="Z91" s="61"/>
    </x:row>
    <x:row r="92">
      <x:c r="A92" s="61"/>
      <x:c r="B92" s="61"/>
      <x:c r="C92" s="61"/>
      <x:c r="D92" s="61"/>
      <x:c r="E92" s="61"/>
      <x:c r="F92" s="61"/>
      <x:c r="G92" s="61"/>
      <x:c r="H92" s="61"/>
      <x:c r="I92" s="61"/>
      <x:c r="J92" s="61"/>
      <x:c r="K92" s="61"/>
      <x:c r="L92" s="61"/>
      <x:c r="M92" s="61"/>
      <x:c r="N92" s="61"/>
      <x:c r="O92" s="61"/>
      <x:c r="P92" s="61"/>
      <x:c r="Q92" s="61"/>
      <x:c r="R92" s="61"/>
      <x:c r="S92" s="61"/>
      <x:c r="T92" s="61"/>
      <x:c r="U92" s="61"/>
      <x:c r="V92" s="61"/>
      <x:c r="W92" s="61"/>
      <x:c r="X92" s="61"/>
      <x:c r="Y92" s="61"/>
      <x:c r="Z92" s="61"/>
    </x:row>
    <x:row r="93">
      <x:c r="A93" s="61"/>
      <x:c r="B93" s="61"/>
      <x:c r="C93" s="61"/>
      <x:c r="D93" s="61"/>
      <x:c r="E93" s="61"/>
      <x:c r="F93" s="61"/>
      <x:c r="G93" s="61"/>
      <x:c r="H93" s="61"/>
      <x:c r="I93" s="61"/>
      <x:c r="J93" s="61"/>
      <x:c r="K93" s="61"/>
      <x:c r="L93" s="61"/>
      <x:c r="M93" s="61"/>
      <x:c r="N93" s="61"/>
      <x:c r="O93" s="61"/>
      <x:c r="P93" s="61"/>
      <x:c r="Q93" s="61"/>
      <x:c r="R93" s="61"/>
      <x:c r="S93" s="61"/>
      <x:c r="T93" s="61"/>
      <x:c r="U93" s="61"/>
      <x:c r="V93" s="61"/>
      <x:c r="W93" s="61"/>
      <x:c r="X93" s="61"/>
      <x:c r="Y93" s="61"/>
      <x:c r="Z93" s="61"/>
    </x:row>
    <x:row r="94">
      <x:c r="A94" s="61"/>
      <x:c r="B94" s="61"/>
      <x:c r="C94" s="61"/>
      <x:c r="D94" s="61"/>
      <x:c r="E94" s="61"/>
      <x:c r="F94" s="61"/>
      <x:c r="G94" s="61"/>
      <x:c r="H94" s="61"/>
      <x:c r="I94" s="61"/>
      <x:c r="J94" s="61"/>
      <x:c r="K94" s="61"/>
      <x:c r="L94" s="61"/>
      <x:c r="M94" s="61"/>
      <x:c r="N94" s="61"/>
      <x:c r="O94" s="61"/>
      <x:c r="P94" s="61"/>
      <x:c r="Q94" s="61"/>
      <x:c r="R94" s="61"/>
      <x:c r="S94" s="61"/>
      <x:c r="T94" s="61"/>
      <x:c r="U94" s="61"/>
      <x:c r="V94" s="61"/>
      <x:c r="W94" s="61"/>
      <x:c r="X94" s="61"/>
      <x:c r="Y94" s="61"/>
      <x:c r="Z94" s="61"/>
    </x:row>
    <x:row r="95">
      <x:c r="A95" s="61"/>
      <x:c r="B95" s="61"/>
      <x:c r="C95" s="61"/>
      <x:c r="D95" s="61"/>
      <x:c r="E95" s="61"/>
      <x:c r="F95" s="61"/>
      <x:c r="G95" s="61"/>
      <x:c r="H95" s="61"/>
      <x:c r="I95" s="61"/>
      <x:c r="J95" s="61"/>
      <x:c r="K95" s="61"/>
      <x:c r="L95" s="61"/>
      <x:c r="M95" s="61"/>
      <x:c r="N95" s="61"/>
      <x:c r="O95" s="61"/>
      <x:c r="P95" s="61"/>
      <x:c r="Q95" s="61"/>
      <x:c r="R95" s="61"/>
      <x:c r="S95" s="61"/>
      <x:c r="T95" s="61"/>
      <x:c r="U95" s="61"/>
      <x:c r="V95" s="61"/>
      <x:c r="W95" s="61"/>
      <x:c r="X95" s="61"/>
      <x:c r="Y95" s="61"/>
      <x:c r="Z95" s="61"/>
    </x:row>
    <x:row r="96">
      <x:c r="A96" s="61"/>
      <x:c r="B96" s="61"/>
      <x:c r="C96" s="61"/>
      <x:c r="D96" s="61"/>
      <x:c r="E96" s="61"/>
      <x:c r="F96" s="61"/>
      <x:c r="G96" s="61"/>
      <x:c r="H96" s="61"/>
      <x:c r="I96" s="61"/>
      <x:c r="J96" s="61"/>
      <x:c r="K96" s="61"/>
      <x:c r="L96" s="61"/>
      <x:c r="M96" s="61"/>
      <x:c r="N96" s="61"/>
      <x:c r="O96" s="61"/>
      <x:c r="P96" s="61"/>
      <x:c r="Q96" s="61"/>
      <x:c r="R96" s="61"/>
      <x:c r="S96" s="61"/>
      <x:c r="T96" s="61"/>
      <x:c r="U96" s="61"/>
      <x:c r="V96" s="61"/>
      <x:c r="W96" s="61"/>
      <x:c r="X96" s="61"/>
      <x:c r="Y96" s="61"/>
      <x:c r="Z96" s="61"/>
    </x:row>
    <x:row r="97">
      <x:c r="A97" s="61"/>
      <x:c r="B97" s="61"/>
      <x:c r="C97" s="61"/>
      <x:c r="D97" s="61"/>
      <x:c r="E97" s="61"/>
      <x:c r="F97" s="61"/>
      <x:c r="G97" s="61"/>
      <x:c r="H97" s="61"/>
      <x:c r="I97" s="61"/>
      <x:c r="J97" s="61"/>
      <x:c r="K97" s="61"/>
      <x:c r="L97" s="61"/>
      <x:c r="M97" s="61"/>
      <x:c r="N97" s="61"/>
      <x:c r="O97" s="61"/>
      <x:c r="P97" s="61"/>
      <x:c r="Q97" s="61"/>
      <x:c r="R97" s="61"/>
      <x:c r="S97" s="61"/>
      <x:c r="T97" s="61"/>
      <x:c r="U97" s="61"/>
      <x:c r="V97" s="61"/>
      <x:c r="W97" s="61"/>
      <x:c r="X97" s="61"/>
      <x:c r="Y97" s="61"/>
      <x:c r="Z97" s="61"/>
    </x:row>
    <x:row r="98">
      <x:c r="A98" s="61"/>
      <x:c r="B98" s="61"/>
      <x:c r="C98" s="61"/>
      <x:c r="D98" s="61"/>
      <x:c r="E98" s="61"/>
      <x:c r="F98" s="61"/>
      <x:c r="G98" s="61"/>
      <x:c r="H98" s="61"/>
      <x:c r="I98" s="61"/>
      <x:c r="J98" s="61"/>
      <x:c r="K98" s="61"/>
      <x:c r="L98" s="61"/>
      <x:c r="M98" s="61"/>
      <x:c r="N98" s="61"/>
      <x:c r="O98" s="61"/>
      <x:c r="P98" s="61"/>
      <x:c r="Q98" s="61"/>
      <x:c r="R98" s="61"/>
      <x:c r="S98" s="61"/>
      <x:c r="T98" s="61"/>
      <x:c r="U98" s="61"/>
      <x:c r="V98" s="61"/>
      <x:c r="W98" s="61"/>
      <x:c r="X98" s="61"/>
      <x:c r="Y98" s="61"/>
      <x:c r="Z98" s="61"/>
    </x:row>
    <x:row r="99">
      <x:c r="A99" s="61"/>
      <x:c r="B99" s="61"/>
      <x:c r="C99" s="61"/>
      <x:c r="D99" s="61"/>
      <x:c r="E99" s="61"/>
      <x:c r="F99" s="61"/>
      <x:c r="G99" s="61"/>
      <x:c r="H99" s="61"/>
      <x:c r="I99" s="61"/>
      <x:c r="J99" s="61"/>
      <x:c r="K99" s="61"/>
      <x:c r="L99" s="61"/>
      <x:c r="M99" s="61"/>
      <x:c r="N99" s="61"/>
      <x:c r="O99" s="61"/>
      <x:c r="P99" s="61"/>
      <x:c r="Q99" s="61"/>
      <x:c r="R99" s="61"/>
      <x:c r="S99" s="61"/>
      <x:c r="T99" s="61"/>
      <x:c r="U99" s="61"/>
      <x:c r="V99" s="61"/>
      <x:c r="W99" s="61"/>
      <x:c r="X99" s="61"/>
      <x:c r="Y99" s="61"/>
      <x:c r="Z99" s="61"/>
    </x:row>
    <x:row r="100">
      <x:c r="A100" s="61"/>
      <x:c r="B100" s="61"/>
      <x:c r="C100" s="61"/>
      <x:c r="D100" s="61"/>
      <x:c r="E100" s="61"/>
      <x:c r="F100" s="61"/>
      <x:c r="G100" s="61"/>
      <x:c r="H100" s="61"/>
      <x:c r="I100" s="61"/>
      <x:c r="J100" s="61"/>
      <x:c r="K100" s="61"/>
      <x:c r="L100" s="61"/>
      <x:c r="M100" s="61"/>
      <x:c r="N100" s="61"/>
      <x:c r="O100" s="61"/>
      <x:c r="P100" s="61"/>
      <x:c r="Q100" s="61"/>
      <x:c r="R100" s="61"/>
      <x:c r="S100" s="61"/>
      <x:c r="T100" s="61"/>
      <x:c r="U100" s="61"/>
      <x:c r="V100" s="61"/>
      <x:c r="W100" s="61"/>
      <x:c r="X100" s="61"/>
      <x:c r="Y100" s="61"/>
      <x:c r="Z100" s="61"/>
    </x:row>
  </x:sheetData>
  <x:mergeCells>
    <x:mergeCell ref="A1:L1"/>
  </x:mergeCells>
  <x:conditionalFormatting sqref="I4:I100">
    <x:cfRule type="expression" dxfId="8" priority="1">
      <x:formula>$I4="OVERDUE"</x:formula>
    </x:cfRule>
    <x:cfRule type="expression" dxfId="9" priority="2">
      <x:formula>$I4="Due within 30 days"</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22" hidden="0" customWidth="1"/>
    <x:col min="3" max="3" width="22" hidden="0" customWidth="1"/>
    <x:col min="4" max="4" width="34" hidden="0" customWidth="1"/>
    <x:col min="5" max="5" width="28" hidden="0" customWidth="1"/>
    <x:col min="6" max="6" width="24" hidden="0" customWidth="1"/>
    <x:col min="7" max="7" width="40" hidden="0" customWidth="1"/>
    <x:col min="8" max="8" width="19" hidden="0" customWidth="1"/>
    <x:col min="9" max="9" width="13" hidden="0" customWidth="1"/>
    <x:col min="10" max="10" width="13" hidden="0" customWidth="1"/>
    <x:col min="11" max="11" width="16" hidden="0" customWidth="1"/>
    <x:col min="12" max="12" width="12" hidden="0" customWidth="1"/>
    <x:col min="13" max="13" width="34" hidden="0" customWidth="1"/>
    <x:col min="14" max="14" width="18" hidden="0" customWidth="1"/>
    <x:col min="15" max="15" width="14" hidden="0" customWidth="1"/>
  </x:cols>
  <x:sheetData>
    <x:row r="1">
      <x:c r="A1" s="78" t="str">
        <x:v>DUCKWORKS | AI TECHNOLOGY, DATA &amp; DEPENDENCY REGISTER</x:v>
      </x:c>
      <x:c r="B1" s="61"/>
      <x:c r="C1" s="61"/>
      <x:c r="D1" s="61"/>
      <x:c r="E1" s="61"/>
      <x:c r="F1" s="61"/>
      <x:c r="G1" s="61"/>
      <x:c r="H1" s="61"/>
      <x:c r="I1" s="61"/>
      <x:c r="J1" s="61"/>
      <x:c r="K1" s="61"/>
      <x:c r="L1" s="61"/>
      <x:c r="M1" s="61"/>
      <x:c r="N1" s="61"/>
      <x:c r="O1" s="61"/>
      <x:c r="P1" s="61"/>
      <x:c r="Q1" s="61"/>
      <x:c r="R1" s="61"/>
      <x:c r="S1" s="61"/>
      <x:c r="T1" s="61"/>
      <x:c r="U1" s="61"/>
      <x:c r="V1" s="61"/>
      <x:c r="W1" s="61"/>
      <x:c r="X1" s="61"/>
      <x:c r="Y1" s="61"/>
      <x:c r="Z1" s="61"/>
    </x:row>
    <x:row r="2">
      <x:c r="A2" s="61"/>
      <x:c r="B2" s="61"/>
      <x:c r="C2" s="61"/>
      <x:c r="D2" s="61"/>
      <x:c r="E2" s="61"/>
      <x:c r="F2" s="61"/>
      <x:c r="G2" s="61"/>
      <x:c r="H2" s="61"/>
      <x:c r="I2" s="61"/>
      <x:c r="J2" s="61"/>
      <x:c r="K2" s="61"/>
      <x:c r="L2" s="61"/>
      <x:c r="M2" s="61"/>
      <x:c r="N2" s="61"/>
      <x:c r="O2" s="61"/>
      <x:c r="P2" s="61"/>
      <x:c r="Q2" s="61"/>
      <x:c r="R2" s="61"/>
      <x:c r="S2" s="61"/>
      <x:c r="T2" s="61"/>
      <x:c r="U2" s="61"/>
      <x:c r="V2" s="61"/>
      <x:c r="W2" s="61"/>
      <x:c r="X2" s="61"/>
      <x:c r="Y2" s="61"/>
      <x:c r="Z2" s="61"/>
    </x:row>
    <x:row r="3">
      <x:c r="A3" s="63" t="str">
        <x:v>AI ID</x:v>
      </x:c>
      <x:c r="B3" s="63" t="str">
        <x:v>System</x:v>
      </x:c>
      <x:c r="C3" s="63" t="str">
        <x:v>AI Type</x:v>
      </x:c>
      <x:c r="D3" s="63" t="str">
        <x:v>Model / Technology</x:v>
      </x:c>
      <x:c r="E3" s="63" t="str">
        <x:v>Provider</x:v>
      </x:c>
      <x:c r="F3" s="63" t="str">
        <x:v>Hosting Model</x:v>
      </x:c>
      <x:c r="G3" s="63" t="str">
        <x:v>Input Data</x:v>
      </x:c>
      <x:c r="H3" s="63" t="str">
        <x:v>Data Classification</x:v>
      </x:c>
      <x:c r="I3" s="63" t="str">
        <x:v>Personal Data</x:v>
      </x:c>
      <x:c r="J3" s="63" t="str">
        <x:v>Sensitive Data</x:v>
      </x:c>
      <x:c r="K3" s="63" t="str">
        <x:v>Confidential / IP</x:v>
      </x:c>
      <x:c r="L3" s="63" t="str">
        <x:v>Third Party</x:v>
      </x:c>
      <x:c r="M3" s="63" t="str">
        <x:v>External APIs / Integrations</x:v>
      </x:c>
      <x:c r="N3" s="63" t="str">
        <x:v>Operating Countries</x:v>
      </x:c>
      <x:c r="O3" s="63" t="str">
        <x:v>Data Location</x:v>
      </x:c>
      <x:c r="P3" s="61"/>
      <x:c r="Q3" s="61"/>
      <x:c r="R3" s="61"/>
      <x:c r="S3" s="61"/>
      <x:c r="T3" s="61"/>
      <x:c r="U3" s="61"/>
      <x:c r="V3" s="61"/>
      <x:c r="W3" s="61"/>
      <x:c r="X3" s="61"/>
      <x:c r="Y3" s="61"/>
      <x:c r="Z3" s="61"/>
    </x:row>
    <x:row r="4">
      <x:c r="A4" s="67" t="str">
        <x:f>'AI Asset Inventory'!A5</x:f>
        <x:v>AI-001</x:v>
      </x:c>
      <x:c r="B4" s="67" t="str">
        <x:f>'AI Asset Inventory'!B5</x:f>
        <x:v>DuckDesign AI</x:v>
      </x:c>
      <x:c r="C4" s="67" t="str">
        <x:f>'AI Asset Inventory'!N5</x:f>
        <x:v>Generative AI / Optimization</x:v>
      </x:c>
      <x:c r="D4" s="67" t="str">
        <x:f>'AI Asset Inventory'!O5</x:f>
        <x:v>Multimodal foundation model + engineering optimization services</x:v>
      </x:c>
      <x:c r="E4" s="67" t="str">
        <x:f>'AI Asset Inventory'!P5</x:f>
        <x:v>Fictional third-party AI provider + internal tooling</x:v>
      </x:c>
      <x:c r="F4" s="67" t="str">
        <x:f>'AI Asset Inventory'!Q5</x:f>
        <x:v>Private cloud / tenant-isolated SaaS</x:v>
      </x:c>
      <x:c r="G4" s="67" t="str">
        <x:f>'AI Asset Inventory'!R5</x:f>
        <x:v>CAD files; product specifications; material characteristics; historical designs; test results</x:v>
      </x:c>
      <x:c r="H4" s="67" t="str">
        <x:f>'AI Asset Inventory'!T5</x:f>
        <x:v>Highly Confidential</x:v>
      </x:c>
      <x:c r="I4" s="67" t="str">
        <x:f>'AI Asset Inventory'!U5</x:f>
        <x:v>No</x:v>
      </x:c>
      <x:c r="J4" s="67" t="str">
        <x:f>'AI Asset Inventory'!V5</x:f>
        <x:v>No</x:v>
      </x:c>
      <x:c r="K4" s="67" t="str">
        <x:f>'AI Asset Inventory'!W5</x:f>
        <x:v>Yes</x:v>
      </x:c>
      <x:c r="L4" s="67" t="str">
        <x:f>'AI Asset Inventory'!AB5</x:f>
        <x:v>Yes</x:v>
      </x:c>
      <x:c r="M4" s="67" t="str">
        <x:f>'AI Asset Inventory'!AC5</x:f>
        <x:v>CAD platform; simulation tooling</x:v>
      </x:c>
      <x:c r="N4" s="67" t="str">
        <x:f>'AI Asset Inventory'!AD5</x:f>
        <x:v>EU / UK</x:v>
      </x:c>
      <x:c r="O4" s="67" t="str">
        <x:f>'AI Asset Inventory'!AE5</x:f>
        <x:v>EU</x:v>
      </x:c>
      <x:c r="P4" s="61"/>
      <x:c r="Q4" s="61"/>
      <x:c r="R4" s="61"/>
      <x:c r="S4" s="61"/>
      <x:c r="T4" s="61"/>
      <x:c r="U4" s="61"/>
      <x:c r="V4" s="61"/>
      <x:c r="W4" s="61"/>
      <x:c r="X4" s="61"/>
      <x:c r="Y4" s="61"/>
      <x:c r="Z4" s="61"/>
    </x:row>
    <x:row r="5">
      <x:c r="A5" s="67" t="str">
        <x:f>'AI Asset Inventory'!A6</x:f>
        <x:v>AI-002</x:v>
      </x:c>
      <x:c r="B5" s="67" t="str">
        <x:f>'AI Asset Inventory'!B6</x:f>
        <x:v>QuackBot</x:v>
      </x:c>
      <x:c r="C5" s="67" t="str">
        <x:f>'AI Asset Inventory'!N6</x:f>
        <x:v>Generative AI / RAG</x:v>
      </x:c>
      <x:c r="D5" s="67" t="str">
        <x:f>'AI Asset Inventory'!O6</x:f>
        <x:v>LLM + retrieval-augmented generation</x:v>
      </x:c>
      <x:c r="E5" s="67" t="str">
        <x:f>'AI Asset Inventory'!P6</x:f>
        <x:v>Fictional SaaS LLM provider</x:v>
      </x:c>
      <x:c r="F5" s="67" t="str">
        <x:f>'AI Asset Inventory'!Q6</x:f>
        <x:v>EU-hosted SaaS</x:v>
      </x:c>
      <x:c r="G5" s="67" t="str">
        <x:f>'AI Asset Inventory'!R6</x:f>
        <x:v>Customer queries; product manuals; warranty documents; support knowledge base</x:v>
      </x:c>
      <x:c r="H5" s="67" t="str">
        <x:f>'AI Asset Inventory'!T6</x:f>
        <x:v>Mixed</x:v>
      </x:c>
      <x:c r="I5" s="67" t="str">
        <x:f>'AI Asset Inventory'!U6</x:f>
        <x:v>Yes</x:v>
      </x:c>
      <x:c r="J5" s="67" t="str">
        <x:f>'AI Asset Inventory'!V6</x:f>
        <x:v>Potentially</x:v>
      </x:c>
      <x:c r="K5" s="67" t="str">
        <x:f>'AI Asset Inventory'!W6</x:f>
        <x:v>Potentially</x:v>
      </x:c>
      <x:c r="L5" s="67" t="str">
        <x:f>'AI Asset Inventory'!AB6</x:f>
        <x:v>Yes</x:v>
      </x:c>
      <x:c r="M5" s="67" t="str">
        <x:f>'AI Asset Inventory'!AC6</x:f>
        <x:v>CRM; support knowledge base; identity service</x:v>
      </x:c>
      <x:c r="N5" s="67" t="str">
        <x:f>'AI Asset Inventory'!AD6</x:f>
        <x:v>EU / UK</x:v>
      </x:c>
      <x:c r="O5" s="67" t="str">
        <x:f>'AI Asset Inventory'!AE6</x:f>
        <x:v>EU</x:v>
      </x:c>
      <x:c r="P5" s="61"/>
      <x:c r="Q5" s="61"/>
      <x:c r="R5" s="61"/>
      <x:c r="S5" s="61"/>
      <x:c r="T5" s="61"/>
      <x:c r="U5" s="61"/>
      <x:c r="V5" s="61"/>
      <x:c r="W5" s="61"/>
      <x:c r="X5" s="61"/>
      <x:c r="Y5" s="61"/>
      <x:c r="Z5" s="61"/>
    </x:row>
    <x:row r="6">
      <x:c r="A6" s="67" t="str">
        <x:f>'AI Asset Inventory'!A7</x:f>
        <x:v>AI-003</x:v>
      </x:c>
      <x:c r="B6" s="67" t="str">
        <x:f>'AI Asset Inventory'!B7</x:f>
        <x:v>FeatherForecast</x:v>
      </x:c>
      <x:c r="C6" s="67" t="str">
        <x:f>'AI Asset Inventory'!N7</x:f>
        <x:v>Predictive ML</x:v>
      </x:c>
      <x:c r="D6" s="67" t="str">
        <x:f>'AI Asset Inventory'!O7</x:f>
        <x:v>Gradient-boosting / time-series ensemble</x:v>
      </x:c>
      <x:c r="E6" s="67" t="str">
        <x:f>'AI Asset Inventory'!P7</x:f>
        <x:v>Internal model</x:v>
      </x:c>
      <x:c r="F6" s="67" t="str">
        <x:f>'AI Asset Inventory'!Q7</x:f>
        <x:v>Private cloud</x:v>
      </x:c>
      <x:c r="G6" s="67" t="str">
        <x:f>'AI Asset Inventory'!R7</x:f>
        <x:v>Sales history; inventory; supplier data; production volumes; shipment data; market indicators</x:v>
      </x:c>
      <x:c r="H6" s="67" t="str">
        <x:f>'AI Asset Inventory'!T7</x:f>
        <x:v>Confidential</x:v>
      </x:c>
      <x:c r="I6" s="67" t="str">
        <x:f>'AI Asset Inventory'!U7</x:f>
        <x:v>No</x:v>
      </x:c>
      <x:c r="J6" s="67" t="str">
        <x:f>'AI Asset Inventory'!V7</x:f>
        <x:v>No</x:v>
      </x:c>
      <x:c r="K6" s="67" t="str">
        <x:f>'AI Asset Inventory'!W7</x:f>
        <x:v>Yes</x:v>
      </x:c>
      <x:c r="L6" s="67" t="str">
        <x:f>'AI Asset Inventory'!AB7</x:f>
        <x:v>No</x:v>
      </x:c>
      <x:c r="M6" s="67" t="str">
        <x:f>'AI Asset Inventory'!AC7</x:f>
        <x:v>ERP; warehouse management; planning platform</x:v>
      </x:c>
      <x:c r="N6" s="67" t="str">
        <x:f>'AI Asset Inventory'!AD7</x:f>
        <x:v>EU / UK</x:v>
      </x:c>
      <x:c r="O6" s="67" t="str">
        <x:f>'AI Asset Inventory'!AE7</x:f>
        <x:v>EU</x:v>
      </x:c>
      <x:c r="P6" s="61"/>
      <x:c r="Q6" s="61"/>
      <x:c r="R6" s="61"/>
      <x:c r="S6" s="61"/>
      <x:c r="T6" s="61"/>
      <x:c r="U6" s="61"/>
      <x:c r="V6" s="61"/>
      <x:c r="W6" s="61"/>
      <x:c r="X6" s="61"/>
      <x:c r="Y6" s="61"/>
      <x:c r="Z6" s="61"/>
    </x:row>
    <x:row r="7">
      <x:c r="A7" s="67" t="str">
        <x:f>'AI Asset Inventory'!A8</x:f>
        <x:v>AI-004</x:v>
      </x:c>
      <x:c r="B7" s="67" t="str">
        <x:f>'AI Asset Inventory'!B8</x:f>
        <x:v>WingInspect Vision</x:v>
      </x:c>
      <x:c r="C7" s="67" t="str">
        <x:f>'AI Asset Inventory'!N8</x:f>
        <x:v>Computer Vision</x:v>
      </x:c>
      <x:c r="D7" s="67" t="str">
        <x:f>'AI Asset Inventory'!O8</x:f>
        <x:v>Vision classifier / object detection</x:v>
      </x:c>
      <x:c r="E7" s="67" t="str">
        <x:f>'AI Asset Inventory'!P8</x:f>
        <x:v>Internal model</x:v>
      </x:c>
      <x:c r="F7" s="67" t="str">
        <x:f>'AI Asset Inventory'!Q8</x:f>
        <x:v>On-premise edge + private cloud</x:v>
      </x:c>
      <x:c r="G7" s="67" t="str">
        <x:f>'AI Asset Inventory'!R8</x:f>
        <x:v>Production-line images; defect images; product specifications; inspection results</x:v>
      </x:c>
      <x:c r="H7" s="67" t="str">
        <x:f>'AI Asset Inventory'!T8</x:f>
        <x:v>Confidential</x:v>
      </x:c>
      <x:c r="I7" s="67" t="str">
        <x:f>'AI Asset Inventory'!U8</x:f>
        <x:v>No</x:v>
      </x:c>
      <x:c r="J7" s="67" t="str">
        <x:f>'AI Asset Inventory'!V8</x:f>
        <x:v>No</x:v>
      </x:c>
      <x:c r="K7" s="67" t="str">
        <x:f>'AI Asset Inventory'!W8</x:f>
        <x:v>Yes</x:v>
      </x:c>
      <x:c r="L7" s="67" t="str">
        <x:f>'AI Asset Inventory'!AB8</x:f>
        <x:v>No</x:v>
      </x:c>
      <x:c r="M7" s="67" t="str">
        <x:f>'AI Asset Inventory'!AC8</x:f>
        <x:v>Production cameras; quality management system</x:v>
      </x:c>
      <x:c r="N7" s="67" t="str">
        <x:f>'AI Asset Inventory'!AD8</x:f>
        <x:v>EU</x:v>
      </x:c>
      <x:c r="O7" s="67" t="str">
        <x:f>'AI Asset Inventory'!AE8</x:f>
        <x:v>EU</x:v>
      </x:c>
      <x:c r="P7" s="61"/>
      <x:c r="Q7" s="61"/>
      <x:c r="R7" s="61"/>
      <x:c r="S7" s="61"/>
      <x:c r="T7" s="61"/>
      <x:c r="U7" s="61"/>
      <x:c r="V7" s="61"/>
      <x:c r="W7" s="61"/>
      <x:c r="X7" s="61"/>
      <x:c r="Y7" s="61"/>
      <x:c r="Z7" s="61"/>
    </x:row>
    <x:row r="8">
      <x:c r="A8" s="67" t="str">
        <x:f>'AI Asset Inventory'!A9</x:f>
        <x:v>AI-005</x:v>
      </x:c>
      <x:c r="B8" s="67" t="str">
        <x:f>'AI Asset Inventory'!B9</x:f>
        <x:v>DuckTalent AI</x:v>
      </x:c>
      <x:c r="C8" s="67" t="str">
        <x:f>'AI Asset Inventory'!N9</x:f>
        <x:v>NLP / Ranking / Predictive AI</x:v>
      </x:c>
      <x:c r="D8" s="67" t="str">
        <x:f>'AI Asset Inventory'!O9</x:f>
        <x:v>TBD — underlying model/provider/version not evidenced</x:v>
      </x:c>
      <x:c r="E8" s="67" t="str">
        <x:f>'AI Asset Inventory'!P9</x:f>
        <x:v>Vendor not selected</x:v>
      </x:c>
      <x:c r="F8" s="67" t="str">
        <x:f>'AI Asset Inventory'!Q9</x:f>
        <x:v>TBD</x:v>
      </x:c>
      <x:c r="G8" s="67" t="str">
        <x:f>'AI Asset Inventory'!R9</x:f>
        <x:v>CVs; application forms; qualifications; employment history; skills; interview information</x:v>
      </x:c>
      <x:c r="H8" s="67" t="str">
        <x:f>'AI Asset Inventory'!T9</x:f>
        <x:v>Highly Confidential</x:v>
      </x:c>
      <x:c r="I8" s="67" t="str">
        <x:f>'AI Asset Inventory'!U9</x:f>
        <x:v>Yes</x:v>
      </x:c>
      <x:c r="J8" s="67" t="str">
        <x:f>'AI Asset Inventory'!V9</x:f>
        <x:v>Potentially</x:v>
      </x:c>
      <x:c r="K8" s="67" t="str">
        <x:f>'AI Asset Inventory'!W9</x:f>
        <x:v>No</x:v>
      </x:c>
      <x:c r="L8" s="67" t="str">
        <x:f>'AI Asset Inventory'!AB9</x:f>
        <x:v>Unknown</x:v>
      </x:c>
      <x:c r="M8" s="67" t="str">
        <x:f>'AI Asset Inventory'!AC9</x:f>
        <x:v>ATS; HRIS; identity platform</x:v>
      </x:c>
      <x:c r="N8" s="67" t="str">
        <x:f>'AI Asset Inventory'!AD9</x:f>
        <x:v>EU / UK</x:v>
      </x:c>
      <x:c r="O8" s="67" t="str">
        <x:f>'AI Asset Inventory'!AE9</x:f>
        <x:v>TBD</x:v>
      </x:c>
      <x:c r="P8" s="61"/>
      <x:c r="Q8" s="61"/>
      <x:c r="R8" s="61"/>
      <x:c r="S8" s="61"/>
      <x:c r="T8" s="61"/>
      <x:c r="U8" s="61"/>
      <x:c r="V8" s="61"/>
      <x:c r="W8" s="61"/>
      <x:c r="X8" s="61"/>
      <x:c r="Y8" s="61"/>
      <x:c r="Z8" s="61"/>
    </x:row>
    <x:row r="9">
      <x:c r="A9" s="67" t="str">
        <x:f>'AI Asset Inventory'!A10</x:f>
        <x:v>AI-006</x:v>
      </x:c>
      <x:c r="B9" s="67" t="str">
        <x:f>'AI Asset Inventory'!B10</x:f>
        <x:v>PondGPT</x:v>
      </x:c>
      <x:c r="C9" s="67" t="str">
        <x:f>'AI Asset Inventory'!N10</x:f>
        <x:v>Generative AI / RAG</x:v>
      </x:c>
      <x:c r="D9" s="67" t="str">
        <x:f>'AI Asset Inventory'!O10</x:f>
        <x:v>Enterprise LLM + RAG + code assistant</x:v>
      </x:c>
      <x:c r="E9" s="67" t="str">
        <x:f>'AI Asset Inventory'!P10</x:f>
        <x:v>Fictional enterprise AI provider</x:v>
      </x:c>
      <x:c r="F9" s="67" t="str">
        <x:f>'AI Asset Inventory'!Q10</x:f>
        <x:v>Private enterprise tenant</x:v>
      </x:c>
      <x:c r="G9" s="67" t="str">
        <x:f>'AI Asset Inventory'!R10</x:f>
        <x:v>Internal documents; policies; source code; meeting transcripts; knowledge-base content; user prompts</x:v>
      </x:c>
      <x:c r="H9" s="67" t="str">
        <x:f>'AI Asset Inventory'!T10</x:f>
        <x:v>Mixed</x:v>
      </x:c>
      <x:c r="I9" s="67" t="str">
        <x:f>'AI Asset Inventory'!U10</x:f>
        <x:v>Yes</x:v>
      </x:c>
      <x:c r="J9" s="67" t="str">
        <x:f>'AI Asset Inventory'!V10</x:f>
        <x:v>Potentially</x:v>
      </x:c>
      <x:c r="K9" s="67" t="str">
        <x:f>'AI Asset Inventory'!W10</x:f>
        <x:v>Yes</x:v>
      </x:c>
      <x:c r="L9" s="67" t="str">
        <x:f>'AI Asset Inventory'!AB10</x:f>
        <x:v>Yes</x:v>
      </x:c>
      <x:c r="M9" s="67" t="str">
        <x:f>'AI Asset Inventory'!AC10</x:f>
        <x:v>Document management; code repositories; identity; knowledge base</x:v>
      </x:c>
      <x:c r="N9" s="67" t="str">
        <x:f>'AI Asset Inventory'!AD10</x:f>
        <x:v>EU / UK</x:v>
      </x:c>
      <x:c r="O9" s="67" t="str">
        <x:f>'AI Asset Inventory'!AE10</x:f>
        <x:v>EU</x:v>
      </x:c>
      <x:c r="P9" s="61"/>
      <x:c r="Q9" s="61"/>
      <x:c r="R9" s="61"/>
      <x:c r="S9" s="61"/>
      <x:c r="T9" s="61"/>
      <x:c r="U9" s="61"/>
      <x:c r="V9" s="61"/>
      <x:c r="W9" s="61"/>
      <x:c r="X9" s="61"/>
      <x:c r="Y9" s="61"/>
      <x:c r="Z9" s="61"/>
    </x:row>
    <x:row r="10">
      <x:c r="A10" s="67" t="str">
        <x:f>'AI Asset Inventory'!A11</x:f>
        <x:v>AI-007</x:v>
      </x:c>
      <x:c r="B10" s="67" t="str">
        <x:f>'AI Asset Inventory'!B11</x:f>
        <x:v>Unregistered GenAI Usage</x:v>
      </x:c>
      <x:c r="C10" s="67" t="str">
        <x:f>'AI Asset Inventory'!N11</x:f>
        <x:v>Third-party GenAI SaaS</x:v>
      </x:c>
      <x:c r="D10" s="67" t="str">
        <x:f>'AI Asset Inventory'!O11</x:f>
        <x:v>Multiple public AI services</x:v>
      </x:c>
      <x:c r="E10" s="67" t="str">
        <x:f>'AI Asset Inventory'!P11</x:f>
        <x:v>Multiple unknown vendors</x:v>
      </x:c>
      <x:c r="F10" s="67" t="str">
        <x:f>'AI Asset Inventory'!Q11</x:f>
        <x:v>External public SaaS</x:v>
      </x:c>
      <x:c r="G10" s="67" t="str">
        <x:f>'AI Asset Inventory'!R11</x:f>
        <x:v>Potentially product specifications; customer correspondence; source code; HR documents; translations; internal documents</x:v>
      </x:c>
      <x:c r="H10" s="67" t="str">
        <x:f>'AI Asset Inventory'!T11</x:f>
        <x:v>Mixed</x:v>
      </x:c>
      <x:c r="I10" s="67" t="str">
        <x:f>'AI Asset Inventory'!U11</x:f>
        <x:v>Potentially</x:v>
      </x:c>
      <x:c r="J10" s="67" t="str">
        <x:f>'AI Asset Inventory'!V11</x:f>
        <x:v>Potentially</x:v>
      </x:c>
      <x:c r="K10" s="67" t="str">
        <x:f>'AI Asset Inventory'!W11</x:f>
        <x:v>Potentially</x:v>
      </x:c>
      <x:c r="L10" s="67" t="str">
        <x:f>'AI Asset Inventory'!AB11</x:f>
        <x:v>Yes</x:v>
      </x:c>
      <x:c r="M10" s="67" t="str">
        <x:f>'AI Asset Inventory'!AC11</x:f>
        <x:v>Unknown browser extensions / public SaaS</x:v>
      </x:c>
      <x:c r="N10" s="67" t="str">
        <x:f>'AI Asset Inventory'!AD11</x:f>
        <x:v>Unknown</x:v>
      </x:c>
      <x:c r="O10" s="67" t="str">
        <x:f>'AI Asset Inventory'!AE11</x:f>
        <x:v>Unknown</x:v>
      </x:c>
      <x:c r="P10" s="61"/>
      <x:c r="Q10" s="61"/>
      <x:c r="R10" s="61"/>
      <x:c r="S10" s="61"/>
      <x:c r="T10" s="61"/>
      <x:c r="U10" s="61"/>
      <x:c r="V10" s="61"/>
      <x:c r="W10" s="61"/>
      <x:c r="X10" s="61"/>
      <x:c r="Y10" s="61"/>
      <x:c r="Z10" s="61"/>
    </x:row>
    <x:row r="11">
      <x:c r="A11" s="61"/>
      <x:c r="B11" s="61"/>
      <x:c r="C11" s="61"/>
      <x:c r="D11" s="61"/>
      <x:c r="E11" s="61"/>
      <x:c r="F11" s="61"/>
      <x:c r="G11" s="61"/>
      <x:c r="H11" s="61"/>
      <x:c r="I11" s="61"/>
      <x:c r="J11" s="61"/>
      <x:c r="K11" s="61"/>
      <x:c r="L11" s="61"/>
      <x:c r="M11" s="61"/>
      <x:c r="N11" s="61"/>
      <x:c r="O11" s="61"/>
      <x:c r="P11" s="61"/>
      <x:c r="Q11" s="61"/>
      <x:c r="R11" s="61"/>
      <x:c r="S11" s="61"/>
      <x:c r="T11" s="61"/>
      <x:c r="U11" s="61"/>
      <x:c r="V11" s="61"/>
      <x:c r="W11" s="61"/>
      <x:c r="X11" s="61"/>
      <x:c r="Y11" s="61"/>
      <x:c r="Z11" s="61"/>
    </x:row>
    <x:row r="12">
      <x:c r="A12" s="61"/>
      <x:c r="B12" s="61"/>
      <x:c r="C12" s="61"/>
      <x:c r="D12" s="61"/>
      <x:c r="E12" s="61"/>
      <x:c r="F12" s="61"/>
      <x:c r="G12" s="61"/>
      <x:c r="H12" s="61"/>
      <x:c r="I12" s="61"/>
      <x:c r="J12" s="61"/>
      <x:c r="K12" s="61"/>
      <x:c r="L12" s="61"/>
      <x:c r="M12" s="61"/>
      <x:c r="N12" s="61"/>
      <x:c r="O12" s="61"/>
      <x:c r="P12" s="61"/>
      <x:c r="Q12" s="61"/>
      <x:c r="R12" s="61"/>
      <x:c r="S12" s="61"/>
      <x:c r="T12" s="61"/>
      <x:c r="U12" s="61"/>
      <x:c r="V12" s="61"/>
      <x:c r="W12" s="61"/>
      <x:c r="X12" s="61"/>
      <x:c r="Y12" s="61"/>
      <x:c r="Z12" s="61"/>
    </x:row>
    <x:row r="13">
      <x:c r="A13" s="61"/>
      <x:c r="B13" s="61"/>
      <x:c r="C13" s="61"/>
      <x:c r="D13" s="61"/>
      <x:c r="E13" s="61"/>
      <x:c r="F13" s="61"/>
      <x:c r="G13" s="61"/>
      <x:c r="H13" s="61"/>
      <x:c r="I13" s="61"/>
      <x:c r="J13" s="61"/>
      <x:c r="K13" s="61"/>
      <x:c r="L13" s="61"/>
      <x:c r="M13" s="61"/>
      <x:c r="N13" s="61"/>
      <x:c r="O13" s="61"/>
      <x:c r="P13" s="61"/>
      <x:c r="Q13" s="61"/>
      <x:c r="R13" s="61"/>
      <x:c r="S13" s="61"/>
      <x:c r="T13" s="61"/>
      <x:c r="U13" s="61"/>
      <x:c r="V13" s="61"/>
      <x:c r="W13" s="61"/>
      <x:c r="X13" s="61"/>
      <x:c r="Y13" s="61"/>
      <x:c r="Z13" s="61"/>
    </x:row>
    <x:row r="14">
      <x:c r="A14" s="61"/>
      <x:c r="B14" s="61"/>
      <x:c r="C14" s="61"/>
      <x:c r="D14" s="61"/>
      <x:c r="E14" s="61"/>
      <x:c r="F14" s="61"/>
      <x:c r="G14" s="61"/>
      <x:c r="H14" s="61"/>
      <x:c r="I14" s="61"/>
      <x:c r="J14" s="61"/>
      <x:c r="K14" s="61"/>
      <x:c r="L14" s="61"/>
      <x:c r="M14" s="61"/>
      <x:c r="N14" s="61"/>
      <x:c r="O14" s="61"/>
      <x:c r="P14" s="61"/>
      <x:c r="Q14" s="61"/>
      <x:c r="R14" s="61"/>
      <x:c r="S14" s="61"/>
      <x:c r="T14" s="61"/>
      <x:c r="U14" s="61"/>
      <x:c r="V14" s="61"/>
      <x:c r="W14" s="61"/>
      <x:c r="X14" s="61"/>
      <x:c r="Y14" s="61"/>
      <x:c r="Z14" s="61"/>
    </x:row>
    <x:row r="15">
      <x:c r="A15" s="61"/>
      <x:c r="B15" s="61"/>
      <x:c r="C15" s="61"/>
      <x:c r="D15" s="61"/>
      <x:c r="E15" s="61"/>
      <x:c r="F15" s="61"/>
      <x:c r="G15" s="61"/>
      <x:c r="H15" s="61"/>
      <x:c r="I15" s="61"/>
      <x:c r="J15" s="61"/>
      <x:c r="K15" s="61"/>
      <x:c r="L15" s="61"/>
      <x:c r="M15" s="61"/>
      <x:c r="N15" s="61"/>
      <x:c r="O15" s="61"/>
      <x:c r="P15" s="61"/>
      <x:c r="Q15" s="61"/>
      <x:c r="R15" s="61"/>
      <x:c r="S15" s="61"/>
      <x:c r="T15" s="61"/>
      <x:c r="U15" s="61"/>
      <x:c r="V15" s="61"/>
      <x:c r="W15" s="61"/>
      <x:c r="X15" s="61"/>
      <x:c r="Y15" s="61"/>
      <x:c r="Z15" s="61"/>
    </x:row>
    <x:row r="16">
      <x:c r="A16" s="61"/>
      <x:c r="B16" s="61"/>
      <x:c r="C16" s="61"/>
      <x:c r="D16" s="61"/>
      <x:c r="E16" s="61"/>
      <x:c r="F16" s="61"/>
      <x:c r="G16" s="61"/>
      <x:c r="H16" s="61"/>
      <x:c r="I16" s="61"/>
      <x:c r="J16" s="61"/>
      <x:c r="K16" s="61"/>
      <x:c r="L16" s="61"/>
      <x:c r="M16" s="61"/>
      <x:c r="N16" s="61"/>
      <x:c r="O16" s="61"/>
      <x:c r="P16" s="61"/>
      <x:c r="Q16" s="61"/>
      <x:c r="R16" s="61"/>
      <x:c r="S16" s="61"/>
      <x:c r="T16" s="61"/>
      <x:c r="U16" s="61"/>
      <x:c r="V16" s="61"/>
      <x:c r="W16" s="61"/>
      <x:c r="X16" s="61"/>
      <x:c r="Y16" s="61"/>
      <x:c r="Z16" s="61"/>
    </x:row>
    <x:row r="17">
      <x:c r="A17" s="61"/>
      <x:c r="B17" s="61"/>
      <x:c r="C17" s="61"/>
      <x:c r="D17" s="61"/>
      <x:c r="E17" s="61"/>
      <x:c r="F17" s="61"/>
      <x:c r="G17" s="61"/>
      <x:c r="H17" s="61"/>
      <x:c r="I17" s="61"/>
      <x:c r="J17" s="61"/>
      <x:c r="K17" s="61"/>
      <x:c r="L17" s="61"/>
      <x:c r="M17" s="61"/>
      <x:c r="N17" s="61"/>
      <x:c r="O17" s="61"/>
      <x:c r="P17" s="61"/>
      <x:c r="Q17" s="61"/>
      <x:c r="R17" s="61"/>
      <x:c r="S17" s="61"/>
      <x:c r="T17" s="61"/>
      <x:c r="U17" s="61"/>
      <x:c r="V17" s="61"/>
      <x:c r="W17" s="61"/>
      <x:c r="X17" s="61"/>
      <x:c r="Y17" s="61"/>
      <x:c r="Z17" s="61"/>
    </x:row>
    <x:row r="18">
      <x:c r="A18" s="61"/>
      <x:c r="B18" s="61"/>
      <x:c r="C18" s="61"/>
      <x:c r="D18" s="61"/>
      <x:c r="E18" s="61"/>
      <x:c r="F18" s="61"/>
      <x:c r="G18" s="61"/>
      <x:c r="H18" s="61"/>
      <x:c r="I18" s="61"/>
      <x:c r="J18" s="61"/>
      <x:c r="K18" s="61"/>
      <x:c r="L18" s="61"/>
      <x:c r="M18" s="61"/>
      <x:c r="N18" s="61"/>
      <x:c r="O18" s="61"/>
      <x:c r="P18" s="61"/>
      <x:c r="Q18" s="61"/>
      <x:c r="R18" s="61"/>
      <x:c r="S18" s="61"/>
      <x:c r="T18" s="61"/>
      <x:c r="U18" s="61"/>
      <x:c r="V18" s="61"/>
      <x:c r="W18" s="61"/>
      <x:c r="X18" s="61"/>
      <x:c r="Y18" s="61"/>
      <x:c r="Z18" s="61"/>
    </x:row>
    <x:row r="19">
      <x:c r="A19" s="61"/>
      <x:c r="B19" s="61"/>
      <x:c r="C19" s="61"/>
      <x:c r="D19" s="61"/>
      <x:c r="E19" s="61"/>
      <x:c r="F19" s="61"/>
      <x:c r="G19" s="61"/>
      <x:c r="H19" s="61"/>
      <x:c r="I19" s="61"/>
      <x:c r="J19" s="61"/>
      <x:c r="K19" s="61"/>
      <x:c r="L19" s="61"/>
      <x:c r="M19" s="61"/>
      <x:c r="N19" s="61"/>
      <x:c r="O19" s="61"/>
      <x:c r="P19" s="61"/>
      <x:c r="Q19" s="61"/>
      <x:c r="R19" s="61"/>
      <x:c r="S19" s="61"/>
      <x:c r="T19" s="61"/>
      <x:c r="U19" s="61"/>
      <x:c r="V19" s="61"/>
      <x:c r="W19" s="61"/>
      <x:c r="X19" s="61"/>
      <x:c r="Y19" s="61"/>
      <x:c r="Z19" s="61"/>
    </x:row>
    <x:row r="20">
      <x:c r="A20" s="61"/>
      <x:c r="B20" s="61"/>
      <x:c r="C20" s="61"/>
      <x:c r="D20" s="61"/>
      <x:c r="E20" s="61"/>
      <x:c r="F20" s="61"/>
      <x:c r="G20" s="61"/>
      <x:c r="H20" s="61"/>
      <x:c r="I20" s="61"/>
      <x:c r="J20" s="61"/>
      <x:c r="K20" s="61"/>
      <x:c r="L20" s="61"/>
      <x:c r="M20" s="61"/>
      <x:c r="N20" s="61"/>
      <x:c r="O20" s="61"/>
      <x:c r="P20" s="61"/>
      <x:c r="Q20" s="61"/>
      <x:c r="R20" s="61"/>
      <x:c r="S20" s="61"/>
      <x:c r="T20" s="61"/>
      <x:c r="U20" s="61"/>
      <x:c r="V20" s="61"/>
      <x:c r="W20" s="61"/>
      <x:c r="X20" s="61"/>
      <x:c r="Y20" s="61"/>
      <x:c r="Z20" s="61"/>
    </x:row>
    <x:row r="21">
      <x:c r="A21" s="61"/>
      <x:c r="B21" s="61"/>
      <x:c r="C21" s="61"/>
      <x:c r="D21" s="61"/>
      <x:c r="E21" s="61"/>
      <x:c r="F21" s="61"/>
      <x:c r="G21" s="61"/>
      <x:c r="H21" s="61"/>
      <x:c r="I21" s="61"/>
      <x:c r="J21" s="61"/>
      <x:c r="K21" s="61"/>
      <x:c r="L21" s="61"/>
      <x:c r="M21" s="61"/>
      <x:c r="N21" s="61"/>
      <x:c r="O21" s="61"/>
      <x:c r="P21" s="61"/>
      <x:c r="Q21" s="61"/>
      <x:c r="R21" s="61"/>
      <x:c r="S21" s="61"/>
      <x:c r="T21" s="61"/>
      <x:c r="U21" s="61"/>
      <x:c r="V21" s="61"/>
      <x:c r="W21" s="61"/>
      <x:c r="X21" s="61"/>
      <x:c r="Y21" s="61"/>
      <x:c r="Z21" s="61"/>
    </x:row>
    <x:row r="22">
      <x:c r="A22" s="61"/>
      <x:c r="B22" s="61"/>
      <x:c r="C22" s="61"/>
      <x:c r="D22" s="61"/>
      <x:c r="E22" s="61"/>
      <x:c r="F22" s="61"/>
      <x:c r="G22" s="61"/>
      <x:c r="H22" s="61"/>
      <x:c r="I22" s="61"/>
      <x:c r="J22" s="61"/>
      <x:c r="K22" s="61"/>
      <x:c r="L22" s="61"/>
      <x:c r="M22" s="61"/>
      <x:c r="N22" s="61"/>
      <x:c r="O22" s="61"/>
      <x:c r="P22" s="61"/>
      <x:c r="Q22" s="61"/>
      <x:c r="R22" s="61"/>
      <x:c r="S22" s="61"/>
      <x:c r="T22" s="61"/>
      <x:c r="U22" s="61"/>
      <x:c r="V22" s="61"/>
      <x:c r="W22" s="61"/>
      <x:c r="X22" s="61"/>
      <x:c r="Y22" s="61"/>
      <x:c r="Z22" s="61"/>
    </x:row>
    <x:row r="23">
      <x:c r="A23" s="61"/>
      <x:c r="B23" s="61"/>
      <x:c r="C23" s="61"/>
      <x:c r="D23" s="61"/>
      <x:c r="E23" s="61"/>
      <x:c r="F23" s="61"/>
      <x:c r="G23" s="61"/>
      <x:c r="H23" s="61"/>
      <x:c r="I23" s="61"/>
      <x:c r="J23" s="61"/>
      <x:c r="K23" s="61"/>
      <x:c r="L23" s="61"/>
      <x:c r="M23" s="61"/>
      <x:c r="N23" s="61"/>
      <x:c r="O23" s="61"/>
      <x:c r="P23" s="61"/>
      <x:c r="Q23" s="61"/>
      <x:c r="R23" s="61"/>
      <x:c r="S23" s="61"/>
      <x:c r="T23" s="61"/>
      <x:c r="U23" s="61"/>
      <x:c r="V23" s="61"/>
      <x:c r="W23" s="61"/>
      <x:c r="X23" s="61"/>
      <x:c r="Y23" s="61"/>
      <x:c r="Z23" s="61"/>
    </x:row>
    <x:row r="24">
      <x:c r="A24" s="61"/>
      <x:c r="B24" s="61"/>
      <x:c r="C24" s="61"/>
      <x:c r="D24" s="61"/>
      <x:c r="E24" s="61"/>
      <x:c r="F24" s="61"/>
      <x:c r="G24" s="61"/>
      <x:c r="H24" s="61"/>
      <x:c r="I24" s="61"/>
      <x:c r="J24" s="61"/>
      <x:c r="K24" s="61"/>
      <x:c r="L24" s="61"/>
      <x:c r="M24" s="61"/>
      <x:c r="N24" s="61"/>
      <x:c r="O24" s="61"/>
      <x:c r="P24" s="61"/>
      <x:c r="Q24" s="61"/>
      <x:c r="R24" s="61"/>
      <x:c r="S24" s="61"/>
      <x:c r="T24" s="61"/>
      <x:c r="U24" s="61"/>
      <x:c r="V24" s="61"/>
      <x:c r="W24" s="61"/>
      <x:c r="X24" s="61"/>
      <x:c r="Y24" s="61"/>
      <x:c r="Z24" s="61"/>
    </x:row>
    <x:row r="25">
      <x:c r="A25" s="61"/>
      <x:c r="B25" s="61"/>
      <x:c r="C25" s="61"/>
      <x:c r="D25" s="61"/>
      <x:c r="E25" s="61"/>
      <x:c r="F25" s="61"/>
      <x:c r="G25" s="61"/>
      <x:c r="H25" s="61"/>
      <x:c r="I25" s="61"/>
      <x:c r="J25" s="61"/>
      <x:c r="K25" s="61"/>
      <x:c r="L25" s="61"/>
      <x:c r="M25" s="61"/>
      <x:c r="N25" s="61"/>
      <x:c r="O25" s="61"/>
      <x:c r="P25" s="61"/>
      <x:c r="Q25" s="61"/>
      <x:c r="R25" s="61"/>
      <x:c r="S25" s="61"/>
      <x:c r="T25" s="61"/>
      <x:c r="U25" s="61"/>
      <x:c r="V25" s="61"/>
      <x:c r="W25" s="61"/>
      <x:c r="X25" s="61"/>
      <x:c r="Y25" s="61"/>
      <x:c r="Z25" s="61"/>
    </x:row>
    <x:row r="26">
      <x:c r="A26" s="61"/>
      <x:c r="B26" s="61"/>
      <x:c r="C26" s="61"/>
      <x:c r="D26" s="61"/>
      <x:c r="E26" s="61"/>
      <x:c r="F26" s="61"/>
      <x:c r="G26" s="61"/>
      <x:c r="H26" s="61"/>
      <x:c r="I26" s="61"/>
      <x:c r="J26" s="61"/>
      <x:c r="K26" s="61"/>
      <x:c r="L26" s="61"/>
      <x:c r="M26" s="61"/>
      <x:c r="N26" s="61"/>
      <x:c r="O26" s="61"/>
      <x:c r="P26" s="61"/>
      <x:c r="Q26" s="61"/>
      <x:c r="R26" s="61"/>
      <x:c r="S26" s="61"/>
      <x:c r="T26" s="61"/>
      <x:c r="U26" s="61"/>
      <x:c r="V26" s="61"/>
      <x:c r="W26" s="61"/>
      <x:c r="X26" s="61"/>
      <x:c r="Y26" s="61"/>
      <x:c r="Z26" s="61"/>
    </x:row>
    <x:row r="27">
      <x:c r="A27" s="61"/>
      <x:c r="B27" s="61"/>
      <x:c r="C27" s="61"/>
      <x:c r="D27" s="61"/>
      <x:c r="E27" s="61"/>
      <x:c r="F27" s="61"/>
      <x:c r="G27" s="61"/>
      <x:c r="H27" s="61"/>
      <x:c r="I27" s="61"/>
      <x:c r="J27" s="61"/>
      <x:c r="K27" s="61"/>
      <x:c r="L27" s="61"/>
      <x:c r="M27" s="61"/>
      <x:c r="N27" s="61"/>
      <x:c r="O27" s="61"/>
      <x:c r="P27" s="61"/>
      <x:c r="Q27" s="61"/>
      <x:c r="R27" s="61"/>
      <x:c r="S27" s="61"/>
      <x:c r="T27" s="61"/>
      <x:c r="U27" s="61"/>
      <x:c r="V27" s="61"/>
      <x:c r="W27" s="61"/>
      <x:c r="X27" s="61"/>
      <x:c r="Y27" s="61"/>
      <x:c r="Z27" s="61"/>
    </x:row>
    <x:row r="28">
      <x:c r="A28" s="61"/>
      <x:c r="B28" s="61"/>
      <x:c r="C28" s="61"/>
      <x:c r="D28" s="61"/>
      <x:c r="E28" s="61"/>
      <x:c r="F28" s="61"/>
      <x:c r="G28" s="61"/>
      <x:c r="H28" s="61"/>
      <x:c r="I28" s="61"/>
      <x:c r="J28" s="61"/>
      <x:c r="K28" s="61"/>
      <x:c r="L28" s="61"/>
      <x:c r="M28" s="61"/>
      <x:c r="N28" s="61"/>
      <x:c r="O28" s="61"/>
      <x:c r="P28" s="61"/>
      <x:c r="Q28" s="61"/>
      <x:c r="R28" s="61"/>
      <x:c r="S28" s="61"/>
      <x:c r="T28" s="61"/>
      <x:c r="U28" s="61"/>
      <x:c r="V28" s="61"/>
      <x:c r="W28" s="61"/>
      <x:c r="X28" s="61"/>
      <x:c r="Y28" s="61"/>
      <x:c r="Z28" s="61"/>
    </x:row>
    <x:row r="29">
      <x:c r="A29" s="61"/>
      <x:c r="B29" s="61"/>
      <x:c r="C29" s="61"/>
      <x:c r="D29" s="61"/>
      <x:c r="E29" s="61"/>
      <x:c r="F29" s="61"/>
      <x:c r="G29" s="61"/>
      <x:c r="H29" s="61"/>
      <x:c r="I29" s="61"/>
      <x:c r="J29" s="61"/>
      <x:c r="K29" s="61"/>
      <x:c r="L29" s="61"/>
      <x:c r="M29" s="61"/>
      <x:c r="N29" s="61"/>
      <x:c r="O29" s="61"/>
      <x:c r="P29" s="61"/>
      <x:c r="Q29" s="61"/>
      <x:c r="R29" s="61"/>
      <x:c r="S29" s="61"/>
      <x:c r="T29" s="61"/>
      <x:c r="U29" s="61"/>
      <x:c r="V29" s="61"/>
      <x:c r="W29" s="61"/>
      <x:c r="X29" s="61"/>
      <x:c r="Y29" s="61"/>
      <x:c r="Z29" s="61"/>
    </x:row>
    <x:row r="30">
      <x:c r="A30" s="61"/>
      <x:c r="B30" s="61"/>
      <x:c r="C30" s="61"/>
      <x:c r="D30" s="61"/>
      <x:c r="E30" s="61"/>
      <x:c r="F30" s="61"/>
      <x:c r="G30" s="61"/>
      <x:c r="H30" s="61"/>
      <x:c r="I30" s="61"/>
      <x:c r="J30" s="61"/>
      <x:c r="K30" s="61"/>
      <x:c r="L30" s="61"/>
      <x:c r="M30" s="61"/>
      <x:c r="N30" s="61"/>
      <x:c r="O30" s="61"/>
      <x:c r="P30" s="61"/>
      <x:c r="Q30" s="61"/>
      <x:c r="R30" s="61"/>
      <x:c r="S30" s="61"/>
      <x:c r="T30" s="61"/>
      <x:c r="U30" s="61"/>
      <x:c r="V30" s="61"/>
      <x:c r="W30" s="61"/>
      <x:c r="X30" s="61"/>
      <x:c r="Y30" s="61"/>
      <x:c r="Z30" s="61"/>
    </x:row>
    <x:row r="31">
      <x:c r="A31" s="61"/>
      <x:c r="B31" s="61"/>
      <x:c r="C31" s="61"/>
      <x:c r="D31" s="61"/>
      <x:c r="E31" s="61"/>
      <x:c r="F31" s="61"/>
      <x:c r="G31" s="61"/>
      <x:c r="H31" s="61"/>
      <x:c r="I31" s="61"/>
      <x:c r="J31" s="61"/>
      <x:c r="K31" s="61"/>
      <x:c r="L31" s="61"/>
      <x:c r="M31" s="61"/>
      <x:c r="N31" s="61"/>
      <x:c r="O31" s="61"/>
      <x:c r="P31" s="61"/>
      <x:c r="Q31" s="61"/>
      <x:c r="R31" s="61"/>
      <x:c r="S31" s="61"/>
      <x:c r="T31" s="61"/>
      <x:c r="U31" s="61"/>
      <x:c r="V31" s="61"/>
      <x:c r="W31" s="61"/>
      <x:c r="X31" s="61"/>
      <x:c r="Y31" s="61"/>
      <x:c r="Z31" s="61"/>
    </x:row>
    <x:row r="32">
      <x:c r="A32" s="61"/>
      <x:c r="B32" s="61"/>
      <x:c r="C32" s="61"/>
      <x:c r="D32" s="61"/>
      <x:c r="E32" s="61"/>
      <x:c r="F32" s="61"/>
      <x:c r="G32" s="61"/>
      <x:c r="H32" s="61"/>
      <x:c r="I32" s="61"/>
      <x:c r="J32" s="61"/>
      <x:c r="K32" s="61"/>
      <x:c r="L32" s="61"/>
      <x:c r="M32" s="61"/>
      <x:c r="N32" s="61"/>
      <x:c r="O32" s="61"/>
      <x:c r="P32" s="61"/>
      <x:c r="Q32" s="61"/>
      <x:c r="R32" s="61"/>
      <x:c r="S32" s="61"/>
      <x:c r="T32" s="61"/>
      <x:c r="U32" s="61"/>
      <x:c r="V32" s="61"/>
      <x:c r="W32" s="61"/>
      <x:c r="X32" s="61"/>
      <x:c r="Y32" s="61"/>
      <x:c r="Z32" s="61"/>
    </x:row>
    <x:row r="33">
      <x:c r="A33" s="61"/>
      <x:c r="B33" s="61"/>
      <x:c r="C33" s="61"/>
      <x:c r="D33" s="61"/>
      <x:c r="E33" s="61"/>
      <x:c r="F33" s="61"/>
      <x:c r="G33" s="61"/>
      <x:c r="H33" s="61"/>
      <x:c r="I33" s="61"/>
      <x:c r="J33" s="61"/>
      <x:c r="K33" s="61"/>
      <x:c r="L33" s="61"/>
      <x:c r="M33" s="61"/>
      <x:c r="N33" s="61"/>
      <x:c r="O33" s="61"/>
      <x:c r="P33" s="61"/>
      <x:c r="Q33" s="61"/>
      <x:c r="R33" s="61"/>
      <x:c r="S33" s="61"/>
      <x:c r="T33" s="61"/>
      <x:c r="U33" s="61"/>
      <x:c r="V33" s="61"/>
      <x:c r="W33" s="61"/>
      <x:c r="X33" s="61"/>
      <x:c r="Y33" s="61"/>
      <x:c r="Z33" s="61"/>
    </x:row>
    <x:row r="34">
      <x:c r="A34" s="61"/>
      <x:c r="B34" s="61"/>
      <x:c r="C34" s="61"/>
      <x:c r="D34" s="61"/>
      <x:c r="E34" s="61"/>
      <x:c r="F34" s="61"/>
      <x:c r="G34" s="61"/>
      <x:c r="H34" s="61"/>
      <x:c r="I34" s="61"/>
      <x:c r="J34" s="61"/>
      <x:c r="K34" s="61"/>
      <x:c r="L34" s="61"/>
      <x:c r="M34" s="61"/>
      <x:c r="N34" s="61"/>
      <x:c r="O34" s="61"/>
      <x:c r="P34" s="61"/>
      <x:c r="Q34" s="61"/>
      <x:c r="R34" s="61"/>
      <x:c r="S34" s="61"/>
      <x:c r="T34" s="61"/>
      <x:c r="U34" s="61"/>
      <x:c r="V34" s="61"/>
      <x:c r="W34" s="61"/>
      <x:c r="X34" s="61"/>
      <x:c r="Y34" s="61"/>
      <x:c r="Z34" s="61"/>
    </x:row>
    <x:row r="35">
      <x:c r="A35" s="61"/>
      <x:c r="B35" s="61"/>
      <x:c r="C35" s="61"/>
      <x:c r="D35" s="61"/>
      <x:c r="E35" s="61"/>
      <x:c r="F35" s="61"/>
      <x:c r="G35" s="61"/>
      <x:c r="H35" s="61"/>
      <x:c r="I35" s="61"/>
      <x:c r="J35" s="61"/>
      <x:c r="K35" s="61"/>
      <x:c r="L35" s="61"/>
      <x:c r="M35" s="61"/>
      <x:c r="N35" s="61"/>
      <x:c r="O35" s="61"/>
      <x:c r="P35" s="61"/>
      <x:c r="Q35" s="61"/>
      <x:c r="R35" s="61"/>
      <x:c r="S35" s="61"/>
      <x:c r="T35" s="61"/>
      <x:c r="U35" s="61"/>
      <x:c r="V35" s="61"/>
      <x:c r="W35" s="61"/>
      <x:c r="X35" s="61"/>
      <x:c r="Y35" s="61"/>
      <x:c r="Z35" s="61"/>
    </x:row>
    <x:row r="36">
      <x:c r="A36" s="61"/>
      <x:c r="B36" s="61"/>
      <x:c r="C36" s="61"/>
      <x:c r="D36" s="61"/>
      <x:c r="E36" s="61"/>
      <x:c r="F36" s="61"/>
      <x:c r="G36" s="61"/>
      <x:c r="H36" s="61"/>
      <x:c r="I36" s="61"/>
      <x:c r="J36" s="61"/>
      <x:c r="K36" s="61"/>
      <x:c r="L36" s="61"/>
      <x:c r="M36" s="61"/>
      <x:c r="N36" s="61"/>
      <x:c r="O36" s="61"/>
      <x:c r="P36" s="61"/>
      <x:c r="Q36" s="61"/>
      <x:c r="R36" s="61"/>
      <x:c r="S36" s="61"/>
      <x:c r="T36" s="61"/>
      <x:c r="U36" s="61"/>
      <x:c r="V36" s="61"/>
      <x:c r="W36" s="61"/>
      <x:c r="X36" s="61"/>
      <x:c r="Y36" s="61"/>
      <x:c r="Z36" s="61"/>
    </x:row>
    <x:row r="37">
      <x:c r="A37" s="61"/>
      <x:c r="B37" s="61"/>
      <x:c r="C37" s="61"/>
      <x:c r="D37" s="61"/>
      <x:c r="E37" s="61"/>
      <x:c r="F37" s="61"/>
      <x:c r="G37" s="61"/>
      <x:c r="H37" s="61"/>
      <x:c r="I37" s="61"/>
      <x:c r="J37" s="61"/>
      <x:c r="K37" s="61"/>
      <x:c r="L37" s="61"/>
      <x:c r="M37" s="61"/>
      <x:c r="N37" s="61"/>
      <x:c r="O37" s="61"/>
      <x:c r="P37" s="61"/>
      <x:c r="Q37" s="61"/>
      <x:c r="R37" s="61"/>
      <x:c r="S37" s="61"/>
      <x:c r="T37" s="61"/>
      <x:c r="U37" s="61"/>
      <x:c r="V37" s="61"/>
      <x:c r="W37" s="61"/>
      <x:c r="X37" s="61"/>
      <x:c r="Y37" s="61"/>
      <x:c r="Z37" s="61"/>
    </x:row>
    <x:row r="38">
      <x:c r="A38" s="61"/>
      <x:c r="B38" s="61"/>
      <x:c r="C38" s="61"/>
      <x:c r="D38" s="61"/>
      <x:c r="E38" s="61"/>
      <x:c r="F38" s="61"/>
      <x:c r="G38" s="61"/>
      <x:c r="H38" s="61"/>
      <x:c r="I38" s="61"/>
      <x:c r="J38" s="61"/>
      <x:c r="K38" s="61"/>
      <x:c r="L38" s="61"/>
      <x:c r="M38" s="61"/>
      <x:c r="N38" s="61"/>
      <x:c r="O38" s="61"/>
      <x:c r="P38" s="61"/>
      <x:c r="Q38" s="61"/>
      <x:c r="R38" s="61"/>
      <x:c r="S38" s="61"/>
      <x:c r="T38" s="61"/>
      <x:c r="U38" s="61"/>
      <x:c r="V38" s="61"/>
      <x:c r="W38" s="61"/>
      <x:c r="X38" s="61"/>
      <x:c r="Y38" s="61"/>
      <x:c r="Z38" s="61"/>
    </x:row>
    <x:row r="39">
      <x:c r="A39" s="61"/>
      <x:c r="B39" s="61"/>
      <x:c r="C39" s="61"/>
      <x:c r="D39" s="61"/>
      <x:c r="E39" s="61"/>
      <x:c r="F39" s="61"/>
      <x:c r="G39" s="61"/>
      <x:c r="H39" s="61"/>
      <x:c r="I39" s="61"/>
      <x:c r="J39" s="61"/>
      <x:c r="K39" s="61"/>
      <x:c r="L39" s="61"/>
      <x:c r="M39" s="61"/>
      <x:c r="N39" s="61"/>
      <x:c r="O39" s="61"/>
      <x:c r="P39" s="61"/>
      <x:c r="Q39" s="61"/>
      <x:c r="R39" s="61"/>
      <x:c r="S39" s="61"/>
      <x:c r="T39" s="61"/>
      <x:c r="U39" s="61"/>
      <x:c r="V39" s="61"/>
      <x:c r="W39" s="61"/>
      <x:c r="X39" s="61"/>
      <x:c r="Y39" s="61"/>
      <x:c r="Z39" s="61"/>
    </x:row>
    <x:row r="40">
      <x:c r="A40" s="61"/>
      <x:c r="B40" s="61"/>
      <x:c r="C40" s="61"/>
      <x:c r="D40" s="61"/>
      <x:c r="E40" s="61"/>
      <x:c r="F40" s="61"/>
      <x:c r="G40" s="61"/>
      <x:c r="H40" s="61"/>
      <x:c r="I40" s="61"/>
      <x:c r="J40" s="61"/>
      <x:c r="K40" s="61"/>
      <x:c r="L40" s="61"/>
      <x:c r="M40" s="61"/>
      <x:c r="N40" s="61"/>
      <x:c r="O40" s="61"/>
      <x:c r="P40" s="61"/>
      <x:c r="Q40" s="61"/>
      <x:c r="R40" s="61"/>
      <x:c r="S40" s="61"/>
      <x:c r="T40" s="61"/>
      <x:c r="U40" s="61"/>
      <x:c r="V40" s="61"/>
      <x:c r="W40" s="61"/>
      <x:c r="X40" s="61"/>
      <x:c r="Y40" s="61"/>
      <x:c r="Z40" s="61"/>
    </x:row>
    <x:row r="41">
      <x:c r="A41" s="61"/>
      <x:c r="B41" s="61"/>
      <x:c r="C41" s="61"/>
      <x:c r="D41" s="61"/>
      <x:c r="E41" s="61"/>
      <x:c r="F41" s="61"/>
      <x:c r="G41" s="61"/>
      <x:c r="H41" s="61"/>
      <x:c r="I41" s="61"/>
      <x:c r="J41" s="61"/>
      <x:c r="K41" s="61"/>
      <x:c r="L41" s="61"/>
      <x:c r="M41" s="61"/>
      <x:c r="N41" s="61"/>
      <x:c r="O41" s="61"/>
      <x:c r="P41" s="61"/>
      <x:c r="Q41" s="61"/>
      <x:c r="R41" s="61"/>
      <x:c r="S41" s="61"/>
      <x:c r="T41" s="61"/>
      <x:c r="U41" s="61"/>
      <x:c r="V41" s="61"/>
      <x:c r="W41" s="61"/>
      <x:c r="X41" s="61"/>
      <x:c r="Y41" s="61"/>
      <x:c r="Z41" s="61"/>
    </x:row>
    <x:row r="42">
      <x:c r="A42" s="61"/>
      <x:c r="B42" s="61"/>
      <x:c r="C42" s="61"/>
      <x:c r="D42" s="61"/>
      <x:c r="E42" s="61"/>
      <x:c r="F42" s="61"/>
      <x:c r="G42" s="61"/>
      <x:c r="H42" s="61"/>
      <x:c r="I42" s="61"/>
      <x:c r="J42" s="61"/>
      <x:c r="K42" s="61"/>
      <x:c r="L42" s="61"/>
      <x:c r="M42" s="61"/>
      <x:c r="N42" s="61"/>
      <x:c r="O42" s="61"/>
      <x:c r="P42" s="61"/>
      <x:c r="Q42" s="61"/>
      <x:c r="R42" s="61"/>
      <x:c r="S42" s="61"/>
      <x:c r="T42" s="61"/>
      <x:c r="U42" s="61"/>
      <x:c r="V42" s="61"/>
      <x:c r="W42" s="61"/>
      <x:c r="X42" s="61"/>
      <x:c r="Y42" s="61"/>
      <x:c r="Z42" s="61"/>
    </x:row>
    <x:row r="43">
      <x:c r="A43" s="61"/>
      <x:c r="B43" s="61"/>
      <x:c r="C43" s="61"/>
      <x:c r="D43" s="61"/>
      <x:c r="E43" s="61"/>
      <x:c r="F43" s="61"/>
      <x:c r="G43" s="61"/>
      <x:c r="H43" s="61"/>
      <x:c r="I43" s="61"/>
      <x:c r="J43" s="61"/>
      <x:c r="K43" s="61"/>
      <x:c r="L43" s="61"/>
      <x:c r="M43" s="61"/>
      <x:c r="N43" s="61"/>
      <x:c r="O43" s="61"/>
      <x:c r="P43" s="61"/>
      <x:c r="Q43" s="61"/>
      <x:c r="R43" s="61"/>
      <x:c r="S43" s="61"/>
      <x:c r="T43" s="61"/>
      <x:c r="U43" s="61"/>
      <x:c r="V43" s="61"/>
      <x:c r="W43" s="61"/>
      <x:c r="X43" s="61"/>
      <x:c r="Y43" s="61"/>
      <x:c r="Z43" s="61"/>
    </x:row>
    <x:row r="44">
      <x:c r="A44" s="61"/>
      <x:c r="B44" s="61"/>
      <x:c r="C44" s="61"/>
      <x:c r="D44" s="61"/>
      <x:c r="E44" s="61"/>
      <x:c r="F44" s="61"/>
      <x:c r="G44" s="61"/>
      <x:c r="H44" s="61"/>
      <x:c r="I44" s="61"/>
      <x:c r="J44" s="61"/>
      <x:c r="K44" s="61"/>
      <x:c r="L44" s="61"/>
      <x:c r="M44" s="61"/>
      <x:c r="N44" s="61"/>
      <x:c r="O44" s="61"/>
      <x:c r="P44" s="61"/>
      <x:c r="Q44" s="61"/>
      <x:c r="R44" s="61"/>
      <x:c r="S44" s="61"/>
      <x:c r="T44" s="61"/>
      <x:c r="U44" s="61"/>
      <x:c r="V44" s="61"/>
      <x:c r="W44" s="61"/>
      <x:c r="X44" s="61"/>
      <x:c r="Y44" s="61"/>
      <x:c r="Z44" s="61"/>
    </x:row>
    <x:row r="45">
      <x:c r="A45" s="61"/>
      <x:c r="B45" s="61"/>
      <x:c r="C45" s="61"/>
      <x:c r="D45" s="61"/>
      <x:c r="E45" s="61"/>
      <x:c r="F45" s="61"/>
      <x:c r="G45" s="61"/>
      <x:c r="H45" s="61"/>
      <x:c r="I45" s="61"/>
      <x:c r="J45" s="61"/>
      <x:c r="K45" s="61"/>
      <x:c r="L45" s="61"/>
      <x:c r="M45" s="61"/>
      <x:c r="N45" s="61"/>
      <x:c r="O45" s="61"/>
      <x:c r="P45" s="61"/>
      <x:c r="Q45" s="61"/>
      <x:c r="R45" s="61"/>
      <x:c r="S45" s="61"/>
      <x:c r="T45" s="61"/>
      <x:c r="U45" s="61"/>
      <x:c r="V45" s="61"/>
      <x:c r="W45" s="61"/>
      <x:c r="X45" s="61"/>
      <x:c r="Y45" s="61"/>
      <x:c r="Z45" s="61"/>
    </x:row>
    <x:row r="46">
      <x:c r="A46" s="61"/>
      <x:c r="B46" s="61"/>
      <x:c r="C46" s="61"/>
      <x:c r="D46" s="61"/>
      <x:c r="E46" s="61"/>
      <x:c r="F46" s="61"/>
      <x:c r="G46" s="61"/>
      <x:c r="H46" s="61"/>
      <x:c r="I46" s="61"/>
      <x:c r="J46" s="61"/>
      <x:c r="K46" s="61"/>
      <x:c r="L46" s="61"/>
      <x:c r="M46" s="61"/>
      <x:c r="N46" s="61"/>
      <x:c r="O46" s="61"/>
      <x:c r="P46" s="61"/>
      <x:c r="Q46" s="61"/>
      <x:c r="R46" s="61"/>
      <x:c r="S46" s="61"/>
      <x:c r="T46" s="61"/>
      <x:c r="U46" s="61"/>
      <x:c r="V46" s="61"/>
      <x:c r="W46" s="61"/>
      <x:c r="X46" s="61"/>
      <x:c r="Y46" s="61"/>
      <x:c r="Z46" s="61"/>
    </x:row>
    <x:row r="47">
      <x:c r="A47" s="61"/>
      <x:c r="B47" s="61"/>
      <x:c r="C47" s="61"/>
      <x:c r="D47" s="61"/>
      <x:c r="E47" s="61"/>
      <x:c r="F47" s="61"/>
      <x:c r="G47" s="61"/>
      <x:c r="H47" s="61"/>
      <x:c r="I47" s="61"/>
      <x:c r="J47" s="61"/>
      <x:c r="K47" s="61"/>
      <x:c r="L47" s="61"/>
      <x:c r="M47" s="61"/>
      <x:c r="N47" s="61"/>
      <x:c r="O47" s="61"/>
      <x:c r="P47" s="61"/>
      <x:c r="Q47" s="61"/>
      <x:c r="R47" s="61"/>
      <x:c r="S47" s="61"/>
      <x:c r="T47" s="61"/>
      <x:c r="U47" s="61"/>
      <x:c r="V47" s="61"/>
      <x:c r="W47" s="61"/>
      <x:c r="X47" s="61"/>
      <x:c r="Y47" s="61"/>
      <x:c r="Z47" s="61"/>
    </x:row>
    <x:row r="48">
      <x:c r="A48" s="61"/>
      <x:c r="B48" s="61"/>
      <x:c r="C48" s="61"/>
      <x:c r="D48" s="61"/>
      <x:c r="E48" s="61"/>
      <x:c r="F48" s="61"/>
      <x:c r="G48" s="61"/>
      <x:c r="H48" s="61"/>
      <x:c r="I48" s="61"/>
      <x:c r="J48" s="61"/>
      <x:c r="K48" s="61"/>
      <x:c r="L48" s="61"/>
      <x:c r="M48" s="61"/>
      <x:c r="N48" s="61"/>
      <x:c r="O48" s="61"/>
      <x:c r="P48" s="61"/>
      <x:c r="Q48" s="61"/>
      <x:c r="R48" s="61"/>
      <x:c r="S48" s="61"/>
      <x:c r="T48" s="61"/>
      <x:c r="U48" s="61"/>
      <x:c r="V48" s="61"/>
      <x:c r="W48" s="61"/>
      <x:c r="X48" s="61"/>
      <x:c r="Y48" s="61"/>
      <x:c r="Z48" s="61"/>
    </x:row>
    <x:row r="49">
      <x:c r="A49" s="61"/>
      <x:c r="B49" s="61"/>
      <x:c r="C49" s="61"/>
      <x:c r="D49" s="61"/>
      <x:c r="E49" s="61"/>
      <x:c r="F49" s="61"/>
      <x:c r="G49" s="61"/>
      <x:c r="H49" s="61"/>
      <x:c r="I49" s="61"/>
      <x:c r="J49" s="61"/>
      <x:c r="K49" s="61"/>
      <x:c r="L49" s="61"/>
      <x:c r="M49" s="61"/>
      <x:c r="N49" s="61"/>
      <x:c r="O49" s="61"/>
      <x:c r="P49" s="61"/>
      <x:c r="Q49" s="61"/>
      <x:c r="R49" s="61"/>
      <x:c r="S49" s="61"/>
      <x:c r="T49" s="61"/>
      <x:c r="U49" s="61"/>
      <x:c r="V49" s="61"/>
      <x:c r="W49" s="61"/>
      <x:c r="X49" s="61"/>
      <x:c r="Y49" s="61"/>
      <x:c r="Z49" s="61"/>
    </x:row>
    <x:row r="50">
      <x:c r="A50" s="61"/>
      <x:c r="B50" s="61"/>
      <x:c r="C50" s="61"/>
      <x:c r="D50" s="61"/>
      <x:c r="E50" s="61"/>
      <x:c r="F50" s="61"/>
      <x:c r="G50" s="61"/>
      <x:c r="H50" s="61"/>
      <x:c r="I50" s="61"/>
      <x:c r="J50" s="61"/>
      <x:c r="K50" s="61"/>
      <x:c r="L50" s="61"/>
      <x:c r="M50" s="61"/>
      <x:c r="N50" s="61"/>
      <x:c r="O50" s="61"/>
      <x:c r="P50" s="61"/>
      <x:c r="Q50" s="61"/>
      <x:c r="R50" s="61"/>
      <x:c r="S50" s="61"/>
      <x:c r="T50" s="61"/>
      <x:c r="U50" s="61"/>
      <x:c r="V50" s="61"/>
      <x:c r="W50" s="61"/>
      <x:c r="X50" s="61"/>
      <x:c r="Y50" s="61"/>
      <x:c r="Z50" s="61"/>
    </x:row>
    <x:row r="51">
      <x:c r="A51" s="61"/>
      <x:c r="B51" s="61"/>
      <x:c r="C51" s="61"/>
      <x:c r="D51" s="61"/>
      <x:c r="E51" s="61"/>
      <x:c r="F51" s="61"/>
      <x:c r="G51" s="61"/>
      <x:c r="H51" s="61"/>
      <x:c r="I51" s="61"/>
      <x:c r="J51" s="61"/>
      <x:c r="K51" s="61"/>
      <x:c r="L51" s="61"/>
      <x:c r="M51" s="61"/>
      <x:c r="N51" s="61"/>
      <x:c r="O51" s="61"/>
      <x:c r="P51" s="61"/>
      <x:c r="Q51" s="61"/>
      <x:c r="R51" s="61"/>
      <x:c r="S51" s="61"/>
      <x:c r="T51" s="61"/>
      <x:c r="U51" s="61"/>
      <x:c r="V51" s="61"/>
      <x:c r="W51" s="61"/>
      <x:c r="X51" s="61"/>
      <x:c r="Y51" s="61"/>
      <x:c r="Z51" s="61"/>
    </x:row>
    <x:row r="52">
      <x:c r="A52" s="61"/>
      <x:c r="B52" s="61"/>
      <x:c r="C52" s="61"/>
      <x:c r="D52" s="61"/>
      <x:c r="E52" s="61"/>
      <x:c r="F52" s="61"/>
      <x:c r="G52" s="61"/>
      <x:c r="H52" s="61"/>
      <x:c r="I52" s="61"/>
      <x:c r="J52" s="61"/>
      <x:c r="K52" s="61"/>
      <x:c r="L52" s="61"/>
      <x:c r="M52" s="61"/>
      <x:c r="N52" s="61"/>
      <x:c r="O52" s="61"/>
      <x:c r="P52" s="61"/>
      <x:c r="Q52" s="61"/>
      <x:c r="R52" s="61"/>
      <x:c r="S52" s="61"/>
      <x:c r="T52" s="61"/>
      <x:c r="U52" s="61"/>
      <x:c r="V52" s="61"/>
      <x:c r="W52" s="61"/>
      <x:c r="X52" s="61"/>
      <x:c r="Y52" s="61"/>
      <x:c r="Z52" s="61"/>
    </x:row>
    <x:row r="53">
      <x:c r="A53" s="61"/>
      <x:c r="B53" s="61"/>
      <x:c r="C53" s="61"/>
      <x:c r="D53" s="61"/>
      <x:c r="E53" s="61"/>
      <x:c r="F53" s="61"/>
      <x:c r="G53" s="61"/>
      <x:c r="H53" s="61"/>
      <x:c r="I53" s="61"/>
      <x:c r="J53" s="61"/>
      <x:c r="K53" s="61"/>
      <x:c r="L53" s="61"/>
      <x:c r="M53" s="61"/>
      <x:c r="N53" s="61"/>
      <x:c r="O53" s="61"/>
      <x:c r="P53" s="61"/>
      <x:c r="Q53" s="61"/>
      <x:c r="R53" s="61"/>
      <x:c r="S53" s="61"/>
      <x:c r="T53" s="61"/>
      <x:c r="U53" s="61"/>
      <x:c r="V53" s="61"/>
      <x:c r="W53" s="61"/>
      <x:c r="X53" s="61"/>
      <x:c r="Y53" s="61"/>
      <x:c r="Z53" s="61"/>
    </x:row>
    <x:row r="54">
      <x:c r="A54" s="61"/>
      <x:c r="B54" s="61"/>
      <x:c r="C54" s="61"/>
      <x:c r="D54" s="61"/>
      <x:c r="E54" s="61"/>
      <x:c r="F54" s="61"/>
      <x:c r="G54" s="61"/>
      <x:c r="H54" s="61"/>
      <x:c r="I54" s="61"/>
      <x:c r="J54" s="61"/>
      <x:c r="K54" s="61"/>
      <x:c r="L54" s="61"/>
      <x:c r="M54" s="61"/>
      <x:c r="N54" s="61"/>
      <x:c r="O54" s="61"/>
      <x:c r="P54" s="61"/>
      <x:c r="Q54" s="61"/>
      <x:c r="R54" s="61"/>
      <x:c r="S54" s="61"/>
      <x:c r="T54" s="61"/>
      <x:c r="U54" s="61"/>
      <x:c r="V54" s="61"/>
      <x:c r="W54" s="61"/>
      <x:c r="X54" s="61"/>
      <x:c r="Y54" s="61"/>
      <x:c r="Z54" s="61"/>
    </x:row>
    <x:row r="55">
      <x:c r="A55" s="61"/>
      <x:c r="B55" s="61"/>
      <x:c r="C55" s="61"/>
      <x:c r="D55" s="61"/>
      <x:c r="E55" s="61"/>
      <x:c r="F55" s="61"/>
      <x:c r="G55" s="61"/>
      <x:c r="H55" s="61"/>
      <x:c r="I55" s="61"/>
      <x:c r="J55" s="61"/>
      <x:c r="K55" s="61"/>
      <x:c r="L55" s="61"/>
      <x:c r="M55" s="61"/>
      <x:c r="N55" s="61"/>
      <x:c r="O55" s="61"/>
      <x:c r="P55" s="61"/>
      <x:c r="Q55" s="61"/>
      <x:c r="R55" s="61"/>
      <x:c r="S55" s="61"/>
      <x:c r="T55" s="61"/>
      <x:c r="U55" s="61"/>
      <x:c r="V55" s="61"/>
      <x:c r="W55" s="61"/>
      <x:c r="X55" s="61"/>
      <x:c r="Y55" s="61"/>
      <x:c r="Z55" s="61"/>
    </x:row>
    <x:row r="56">
      <x:c r="A56" s="61"/>
      <x:c r="B56" s="61"/>
      <x:c r="C56" s="61"/>
      <x:c r="D56" s="61"/>
      <x:c r="E56" s="61"/>
      <x:c r="F56" s="61"/>
      <x:c r="G56" s="61"/>
      <x:c r="H56" s="61"/>
      <x:c r="I56" s="61"/>
      <x:c r="J56" s="61"/>
      <x:c r="K56" s="61"/>
      <x:c r="L56" s="61"/>
      <x:c r="M56" s="61"/>
      <x:c r="N56" s="61"/>
      <x:c r="O56" s="61"/>
      <x:c r="P56" s="61"/>
      <x:c r="Q56" s="61"/>
      <x:c r="R56" s="61"/>
      <x:c r="S56" s="61"/>
      <x:c r="T56" s="61"/>
      <x:c r="U56" s="61"/>
      <x:c r="V56" s="61"/>
      <x:c r="W56" s="61"/>
      <x:c r="X56" s="61"/>
      <x:c r="Y56" s="61"/>
      <x:c r="Z56" s="61"/>
    </x:row>
    <x:row r="57">
      <x:c r="A57" s="61"/>
      <x:c r="B57" s="61"/>
      <x:c r="C57" s="61"/>
      <x:c r="D57" s="61"/>
      <x:c r="E57" s="61"/>
      <x:c r="F57" s="61"/>
      <x:c r="G57" s="61"/>
      <x:c r="H57" s="61"/>
      <x:c r="I57" s="61"/>
      <x:c r="J57" s="61"/>
      <x:c r="K57" s="61"/>
      <x:c r="L57" s="61"/>
      <x:c r="M57" s="61"/>
      <x:c r="N57" s="61"/>
      <x:c r="O57" s="61"/>
      <x:c r="P57" s="61"/>
      <x:c r="Q57" s="61"/>
      <x:c r="R57" s="61"/>
      <x:c r="S57" s="61"/>
      <x:c r="T57" s="61"/>
      <x:c r="U57" s="61"/>
      <x:c r="V57" s="61"/>
      <x:c r="W57" s="61"/>
      <x:c r="X57" s="61"/>
      <x:c r="Y57" s="61"/>
      <x:c r="Z57" s="61"/>
    </x:row>
    <x:row r="58">
      <x:c r="A58" s="61"/>
      <x:c r="B58" s="61"/>
      <x:c r="C58" s="61"/>
      <x:c r="D58" s="61"/>
      <x:c r="E58" s="61"/>
      <x:c r="F58" s="61"/>
      <x:c r="G58" s="61"/>
      <x:c r="H58" s="61"/>
      <x:c r="I58" s="61"/>
      <x:c r="J58" s="61"/>
      <x:c r="K58" s="61"/>
      <x:c r="L58" s="61"/>
      <x:c r="M58" s="61"/>
      <x:c r="N58" s="61"/>
      <x:c r="O58" s="61"/>
      <x:c r="P58" s="61"/>
      <x:c r="Q58" s="61"/>
      <x:c r="R58" s="61"/>
      <x:c r="S58" s="61"/>
      <x:c r="T58" s="61"/>
      <x:c r="U58" s="61"/>
      <x:c r="V58" s="61"/>
      <x:c r="W58" s="61"/>
      <x:c r="X58" s="61"/>
      <x:c r="Y58" s="61"/>
      <x:c r="Z58" s="61"/>
    </x:row>
    <x:row r="59">
      <x:c r="A59" s="61"/>
      <x:c r="B59" s="61"/>
      <x:c r="C59" s="61"/>
      <x:c r="D59" s="61"/>
      <x:c r="E59" s="61"/>
      <x:c r="F59" s="61"/>
      <x:c r="G59" s="61"/>
      <x:c r="H59" s="61"/>
      <x:c r="I59" s="61"/>
      <x:c r="J59" s="61"/>
      <x:c r="K59" s="61"/>
      <x:c r="L59" s="61"/>
      <x:c r="M59" s="61"/>
      <x:c r="N59" s="61"/>
      <x:c r="O59" s="61"/>
      <x:c r="P59" s="61"/>
      <x:c r="Q59" s="61"/>
      <x:c r="R59" s="61"/>
      <x:c r="S59" s="61"/>
      <x:c r="T59" s="61"/>
      <x:c r="U59" s="61"/>
      <x:c r="V59" s="61"/>
      <x:c r="W59" s="61"/>
      <x:c r="X59" s="61"/>
      <x:c r="Y59" s="61"/>
      <x:c r="Z59" s="61"/>
    </x:row>
    <x:row r="60">
      <x:c r="A60" s="61"/>
      <x:c r="B60" s="61"/>
      <x:c r="C60" s="61"/>
      <x:c r="D60" s="61"/>
      <x:c r="E60" s="61"/>
      <x:c r="F60" s="61"/>
      <x:c r="G60" s="61"/>
      <x:c r="H60" s="61"/>
      <x:c r="I60" s="61"/>
      <x:c r="J60" s="61"/>
      <x:c r="K60" s="61"/>
      <x:c r="L60" s="61"/>
      <x:c r="M60" s="61"/>
      <x:c r="N60" s="61"/>
      <x:c r="O60" s="61"/>
      <x:c r="P60" s="61"/>
      <x:c r="Q60" s="61"/>
      <x:c r="R60" s="61"/>
      <x:c r="S60" s="61"/>
      <x:c r="T60" s="61"/>
      <x:c r="U60" s="61"/>
      <x:c r="V60" s="61"/>
      <x:c r="W60" s="61"/>
      <x:c r="X60" s="61"/>
      <x:c r="Y60" s="61"/>
      <x:c r="Z60" s="61"/>
    </x:row>
    <x:row r="61">
      <x:c r="A61" s="61"/>
      <x:c r="B61" s="61"/>
      <x:c r="C61" s="61"/>
      <x:c r="D61" s="61"/>
      <x:c r="E61" s="61"/>
      <x:c r="F61" s="61"/>
      <x:c r="G61" s="61"/>
      <x:c r="H61" s="61"/>
      <x:c r="I61" s="61"/>
      <x:c r="J61" s="61"/>
      <x:c r="K61" s="61"/>
      <x:c r="L61" s="61"/>
      <x:c r="M61" s="61"/>
      <x:c r="N61" s="61"/>
      <x:c r="O61" s="61"/>
      <x:c r="P61" s="61"/>
      <x:c r="Q61" s="61"/>
      <x:c r="R61" s="61"/>
      <x:c r="S61" s="61"/>
      <x:c r="T61" s="61"/>
      <x:c r="U61" s="61"/>
      <x:c r="V61" s="61"/>
      <x:c r="W61" s="61"/>
      <x:c r="X61" s="61"/>
      <x:c r="Y61" s="61"/>
      <x:c r="Z61" s="61"/>
    </x:row>
    <x:row r="62">
      <x:c r="A62" s="61"/>
      <x:c r="B62" s="61"/>
      <x:c r="C62" s="61"/>
      <x:c r="D62" s="61"/>
      <x:c r="E62" s="61"/>
      <x:c r="F62" s="61"/>
      <x:c r="G62" s="61"/>
      <x:c r="H62" s="61"/>
      <x:c r="I62" s="61"/>
      <x:c r="J62" s="61"/>
      <x:c r="K62" s="61"/>
      <x:c r="L62" s="61"/>
      <x:c r="M62" s="61"/>
      <x:c r="N62" s="61"/>
      <x:c r="O62" s="61"/>
      <x:c r="P62" s="61"/>
      <x:c r="Q62" s="61"/>
      <x:c r="R62" s="61"/>
      <x:c r="S62" s="61"/>
      <x:c r="T62" s="61"/>
      <x:c r="U62" s="61"/>
      <x:c r="V62" s="61"/>
      <x:c r="W62" s="61"/>
      <x:c r="X62" s="61"/>
      <x:c r="Y62" s="61"/>
      <x:c r="Z62" s="61"/>
    </x:row>
    <x:row r="63">
      <x:c r="A63" s="61"/>
      <x:c r="B63" s="61"/>
      <x:c r="C63" s="61"/>
      <x:c r="D63" s="61"/>
      <x:c r="E63" s="61"/>
      <x:c r="F63" s="61"/>
      <x:c r="G63" s="61"/>
      <x:c r="H63" s="61"/>
      <x:c r="I63" s="61"/>
      <x:c r="J63" s="61"/>
      <x:c r="K63" s="61"/>
      <x:c r="L63" s="61"/>
      <x:c r="M63" s="61"/>
      <x:c r="N63" s="61"/>
      <x:c r="O63" s="61"/>
      <x:c r="P63" s="61"/>
      <x:c r="Q63" s="61"/>
      <x:c r="R63" s="61"/>
      <x:c r="S63" s="61"/>
      <x:c r="T63" s="61"/>
      <x:c r="U63" s="61"/>
      <x:c r="V63" s="61"/>
      <x:c r="W63" s="61"/>
      <x:c r="X63" s="61"/>
      <x:c r="Y63" s="61"/>
      <x:c r="Z63" s="61"/>
    </x:row>
    <x:row r="64">
      <x:c r="A64" s="61"/>
      <x:c r="B64" s="61"/>
      <x:c r="C64" s="61"/>
      <x:c r="D64" s="61"/>
      <x:c r="E64" s="61"/>
      <x:c r="F64" s="61"/>
      <x:c r="G64" s="61"/>
      <x:c r="H64" s="61"/>
      <x:c r="I64" s="61"/>
      <x:c r="J64" s="61"/>
      <x:c r="K64" s="61"/>
      <x:c r="L64" s="61"/>
      <x:c r="M64" s="61"/>
      <x:c r="N64" s="61"/>
      <x:c r="O64" s="61"/>
      <x:c r="P64" s="61"/>
      <x:c r="Q64" s="61"/>
      <x:c r="R64" s="61"/>
      <x:c r="S64" s="61"/>
      <x:c r="T64" s="61"/>
      <x:c r="U64" s="61"/>
      <x:c r="V64" s="61"/>
      <x:c r="W64" s="61"/>
      <x:c r="X64" s="61"/>
      <x:c r="Y64" s="61"/>
      <x:c r="Z64" s="61"/>
    </x:row>
    <x:row r="65">
      <x:c r="A65" s="61"/>
      <x:c r="B65" s="61"/>
      <x:c r="C65" s="61"/>
      <x:c r="D65" s="61"/>
      <x:c r="E65" s="61"/>
      <x:c r="F65" s="61"/>
      <x:c r="G65" s="61"/>
      <x:c r="H65" s="61"/>
      <x:c r="I65" s="61"/>
      <x:c r="J65" s="61"/>
      <x:c r="K65" s="61"/>
      <x:c r="L65" s="61"/>
      <x:c r="M65" s="61"/>
      <x:c r="N65" s="61"/>
      <x:c r="O65" s="61"/>
      <x:c r="P65" s="61"/>
      <x:c r="Q65" s="61"/>
      <x:c r="R65" s="61"/>
      <x:c r="S65" s="61"/>
      <x:c r="T65" s="61"/>
      <x:c r="U65" s="61"/>
      <x:c r="V65" s="61"/>
      <x:c r="W65" s="61"/>
      <x:c r="X65" s="61"/>
      <x:c r="Y65" s="61"/>
      <x:c r="Z65" s="61"/>
    </x:row>
    <x:row r="66">
      <x:c r="A66" s="61"/>
      <x:c r="B66" s="61"/>
      <x:c r="C66" s="61"/>
      <x:c r="D66" s="61"/>
      <x:c r="E66" s="61"/>
      <x:c r="F66" s="61"/>
      <x:c r="G66" s="61"/>
      <x:c r="H66" s="61"/>
      <x:c r="I66" s="61"/>
      <x:c r="J66" s="61"/>
      <x:c r="K66" s="61"/>
      <x:c r="L66" s="61"/>
      <x:c r="M66" s="61"/>
      <x:c r="N66" s="61"/>
      <x:c r="O66" s="61"/>
      <x:c r="P66" s="61"/>
      <x:c r="Q66" s="61"/>
      <x:c r="R66" s="61"/>
      <x:c r="S66" s="61"/>
      <x:c r="T66" s="61"/>
      <x:c r="U66" s="61"/>
      <x:c r="V66" s="61"/>
      <x:c r="W66" s="61"/>
      <x:c r="X66" s="61"/>
      <x:c r="Y66" s="61"/>
      <x:c r="Z66" s="61"/>
    </x:row>
    <x:row r="67">
      <x:c r="A67" s="61"/>
      <x:c r="B67" s="61"/>
      <x:c r="C67" s="61"/>
      <x:c r="D67" s="61"/>
      <x:c r="E67" s="61"/>
      <x:c r="F67" s="61"/>
      <x:c r="G67" s="61"/>
      <x:c r="H67" s="61"/>
      <x:c r="I67" s="61"/>
      <x:c r="J67" s="61"/>
      <x:c r="K67" s="61"/>
      <x:c r="L67" s="61"/>
      <x:c r="M67" s="61"/>
      <x:c r="N67" s="61"/>
      <x:c r="O67" s="61"/>
      <x:c r="P67" s="61"/>
      <x:c r="Q67" s="61"/>
      <x:c r="R67" s="61"/>
      <x:c r="S67" s="61"/>
      <x:c r="T67" s="61"/>
      <x:c r="U67" s="61"/>
      <x:c r="V67" s="61"/>
      <x:c r="W67" s="61"/>
      <x:c r="X67" s="61"/>
      <x:c r="Y67" s="61"/>
      <x:c r="Z67" s="61"/>
    </x:row>
    <x:row r="68">
      <x:c r="A68" s="61"/>
      <x:c r="B68" s="61"/>
      <x:c r="C68" s="61"/>
      <x:c r="D68" s="61"/>
      <x:c r="E68" s="61"/>
      <x:c r="F68" s="61"/>
      <x:c r="G68" s="61"/>
      <x:c r="H68" s="61"/>
      <x:c r="I68" s="61"/>
      <x:c r="J68" s="61"/>
      <x:c r="K68" s="61"/>
      <x:c r="L68" s="61"/>
      <x:c r="M68" s="61"/>
      <x:c r="N68" s="61"/>
      <x:c r="O68" s="61"/>
      <x:c r="P68" s="61"/>
      <x:c r="Q68" s="61"/>
      <x:c r="R68" s="61"/>
      <x:c r="S68" s="61"/>
      <x:c r="T68" s="61"/>
      <x:c r="U68" s="61"/>
      <x:c r="V68" s="61"/>
      <x:c r="W68" s="61"/>
      <x:c r="X68" s="61"/>
      <x:c r="Y68" s="61"/>
      <x:c r="Z68" s="61"/>
    </x:row>
    <x:row r="69">
      <x:c r="A69" s="61"/>
      <x:c r="B69" s="61"/>
      <x:c r="C69" s="61"/>
      <x:c r="D69" s="61"/>
      <x:c r="E69" s="61"/>
      <x:c r="F69" s="61"/>
      <x:c r="G69" s="61"/>
      <x:c r="H69" s="61"/>
      <x:c r="I69" s="61"/>
      <x:c r="J69" s="61"/>
      <x:c r="K69" s="61"/>
      <x:c r="L69" s="61"/>
      <x:c r="M69" s="61"/>
      <x:c r="N69" s="61"/>
      <x:c r="O69" s="61"/>
      <x:c r="P69" s="61"/>
      <x:c r="Q69" s="61"/>
      <x:c r="R69" s="61"/>
      <x:c r="S69" s="61"/>
      <x:c r="T69" s="61"/>
      <x:c r="U69" s="61"/>
      <x:c r="V69" s="61"/>
      <x:c r="W69" s="61"/>
      <x:c r="X69" s="61"/>
      <x:c r="Y69" s="61"/>
      <x:c r="Z69" s="61"/>
    </x:row>
    <x:row r="70">
      <x:c r="A70" s="61"/>
      <x:c r="B70" s="61"/>
      <x:c r="C70" s="61"/>
      <x:c r="D70" s="61"/>
      <x:c r="E70" s="61"/>
      <x:c r="F70" s="61"/>
      <x:c r="G70" s="61"/>
      <x:c r="H70" s="61"/>
      <x:c r="I70" s="61"/>
      <x:c r="J70" s="61"/>
      <x:c r="K70" s="61"/>
      <x:c r="L70" s="61"/>
      <x:c r="M70" s="61"/>
      <x:c r="N70" s="61"/>
      <x:c r="O70" s="61"/>
      <x:c r="P70" s="61"/>
      <x:c r="Q70" s="61"/>
      <x:c r="R70" s="61"/>
      <x:c r="S70" s="61"/>
      <x:c r="T70" s="61"/>
      <x:c r="U70" s="61"/>
      <x:c r="V70" s="61"/>
      <x:c r="W70" s="61"/>
      <x:c r="X70" s="61"/>
      <x:c r="Y70" s="61"/>
      <x:c r="Z70" s="61"/>
    </x:row>
    <x:row r="71">
      <x:c r="A71" s="61"/>
      <x:c r="B71" s="61"/>
      <x:c r="C71" s="61"/>
      <x:c r="D71" s="61"/>
      <x:c r="E71" s="61"/>
      <x:c r="F71" s="61"/>
      <x:c r="G71" s="61"/>
      <x:c r="H71" s="61"/>
      <x:c r="I71" s="61"/>
      <x:c r="J71" s="61"/>
      <x:c r="K71" s="61"/>
      <x:c r="L71" s="61"/>
      <x:c r="M71" s="61"/>
      <x:c r="N71" s="61"/>
      <x:c r="O71" s="61"/>
      <x:c r="P71" s="61"/>
      <x:c r="Q71" s="61"/>
      <x:c r="R71" s="61"/>
      <x:c r="S71" s="61"/>
      <x:c r="T71" s="61"/>
      <x:c r="U71" s="61"/>
      <x:c r="V71" s="61"/>
      <x:c r="W71" s="61"/>
      <x:c r="X71" s="61"/>
      <x:c r="Y71" s="61"/>
      <x:c r="Z71" s="61"/>
    </x:row>
    <x:row r="72">
      <x:c r="A72" s="61"/>
      <x:c r="B72" s="61"/>
      <x:c r="C72" s="61"/>
      <x:c r="D72" s="61"/>
      <x:c r="E72" s="61"/>
      <x:c r="F72" s="61"/>
      <x:c r="G72" s="61"/>
      <x:c r="H72" s="61"/>
      <x:c r="I72" s="61"/>
      <x:c r="J72" s="61"/>
      <x:c r="K72" s="61"/>
      <x:c r="L72" s="61"/>
      <x:c r="M72" s="61"/>
      <x:c r="N72" s="61"/>
      <x:c r="O72" s="61"/>
      <x:c r="P72" s="61"/>
      <x:c r="Q72" s="61"/>
      <x:c r="R72" s="61"/>
      <x:c r="S72" s="61"/>
      <x:c r="T72" s="61"/>
      <x:c r="U72" s="61"/>
      <x:c r="V72" s="61"/>
      <x:c r="W72" s="61"/>
      <x:c r="X72" s="61"/>
      <x:c r="Y72" s="61"/>
      <x:c r="Z72" s="61"/>
    </x:row>
    <x:row r="73">
      <x:c r="A73" s="61"/>
      <x:c r="B73" s="61"/>
      <x:c r="C73" s="61"/>
      <x:c r="D73" s="61"/>
      <x:c r="E73" s="61"/>
      <x:c r="F73" s="61"/>
      <x:c r="G73" s="61"/>
      <x:c r="H73" s="61"/>
      <x:c r="I73" s="61"/>
      <x:c r="J73" s="61"/>
      <x:c r="K73" s="61"/>
      <x:c r="L73" s="61"/>
      <x:c r="M73" s="61"/>
      <x:c r="N73" s="61"/>
      <x:c r="O73" s="61"/>
      <x:c r="P73" s="61"/>
      <x:c r="Q73" s="61"/>
      <x:c r="R73" s="61"/>
      <x:c r="S73" s="61"/>
      <x:c r="T73" s="61"/>
      <x:c r="U73" s="61"/>
      <x:c r="V73" s="61"/>
      <x:c r="W73" s="61"/>
      <x:c r="X73" s="61"/>
      <x:c r="Y73" s="61"/>
      <x:c r="Z73" s="61"/>
    </x:row>
    <x:row r="74">
      <x:c r="A74" s="61"/>
      <x:c r="B74" s="61"/>
      <x:c r="C74" s="61"/>
      <x:c r="D74" s="61"/>
      <x:c r="E74" s="61"/>
      <x:c r="F74" s="61"/>
      <x:c r="G74" s="61"/>
      <x:c r="H74" s="61"/>
      <x:c r="I74" s="61"/>
      <x:c r="J74" s="61"/>
      <x:c r="K74" s="61"/>
      <x:c r="L74" s="61"/>
      <x:c r="M74" s="61"/>
      <x:c r="N74" s="61"/>
      <x:c r="O74" s="61"/>
      <x:c r="P74" s="61"/>
      <x:c r="Q74" s="61"/>
      <x:c r="R74" s="61"/>
      <x:c r="S74" s="61"/>
      <x:c r="T74" s="61"/>
      <x:c r="U74" s="61"/>
      <x:c r="V74" s="61"/>
      <x:c r="W74" s="61"/>
      <x:c r="X74" s="61"/>
      <x:c r="Y74" s="61"/>
      <x:c r="Z74" s="61"/>
    </x:row>
    <x:row r="75">
      <x:c r="A75" s="61"/>
      <x:c r="B75" s="61"/>
      <x:c r="C75" s="61"/>
      <x:c r="D75" s="61"/>
      <x:c r="E75" s="61"/>
      <x:c r="F75" s="61"/>
      <x:c r="G75" s="61"/>
      <x:c r="H75" s="61"/>
      <x:c r="I75" s="61"/>
      <x:c r="J75" s="61"/>
      <x:c r="K75" s="61"/>
      <x:c r="L75" s="61"/>
      <x:c r="M75" s="61"/>
      <x:c r="N75" s="61"/>
      <x:c r="O75" s="61"/>
      <x:c r="P75" s="61"/>
      <x:c r="Q75" s="61"/>
      <x:c r="R75" s="61"/>
      <x:c r="S75" s="61"/>
      <x:c r="T75" s="61"/>
      <x:c r="U75" s="61"/>
      <x:c r="V75" s="61"/>
      <x:c r="W75" s="61"/>
      <x:c r="X75" s="61"/>
      <x:c r="Y75" s="61"/>
      <x:c r="Z75" s="61"/>
    </x:row>
    <x:row r="76">
      <x:c r="A76" s="61"/>
      <x:c r="B76" s="61"/>
      <x:c r="C76" s="61"/>
      <x:c r="D76" s="61"/>
      <x:c r="E76" s="61"/>
      <x:c r="F76" s="61"/>
      <x:c r="G76" s="61"/>
      <x:c r="H76" s="61"/>
      <x:c r="I76" s="61"/>
      <x:c r="J76" s="61"/>
      <x:c r="K76" s="61"/>
      <x:c r="L76" s="61"/>
      <x:c r="M76" s="61"/>
      <x:c r="N76" s="61"/>
      <x:c r="O76" s="61"/>
      <x:c r="P76" s="61"/>
      <x:c r="Q76" s="61"/>
      <x:c r="R76" s="61"/>
      <x:c r="S76" s="61"/>
      <x:c r="T76" s="61"/>
      <x:c r="U76" s="61"/>
      <x:c r="V76" s="61"/>
      <x:c r="W76" s="61"/>
      <x:c r="X76" s="61"/>
      <x:c r="Y76" s="61"/>
      <x:c r="Z76" s="61"/>
    </x:row>
    <x:row r="77">
      <x:c r="A77" s="61"/>
      <x:c r="B77" s="61"/>
      <x:c r="C77" s="61"/>
      <x:c r="D77" s="61"/>
      <x:c r="E77" s="61"/>
      <x:c r="F77" s="61"/>
      <x:c r="G77" s="61"/>
      <x:c r="H77" s="61"/>
      <x:c r="I77" s="61"/>
      <x:c r="J77" s="61"/>
      <x:c r="K77" s="61"/>
      <x:c r="L77" s="61"/>
      <x:c r="M77" s="61"/>
      <x:c r="N77" s="61"/>
      <x:c r="O77" s="61"/>
      <x:c r="P77" s="61"/>
      <x:c r="Q77" s="61"/>
      <x:c r="R77" s="61"/>
      <x:c r="S77" s="61"/>
      <x:c r="T77" s="61"/>
      <x:c r="U77" s="61"/>
      <x:c r="V77" s="61"/>
      <x:c r="W77" s="61"/>
      <x:c r="X77" s="61"/>
      <x:c r="Y77" s="61"/>
      <x:c r="Z77" s="61"/>
    </x:row>
    <x:row r="78">
      <x:c r="A78" s="61"/>
      <x:c r="B78" s="61"/>
      <x:c r="C78" s="61"/>
      <x:c r="D78" s="61"/>
      <x:c r="E78" s="61"/>
      <x:c r="F78" s="61"/>
      <x:c r="G78" s="61"/>
      <x:c r="H78" s="61"/>
      <x:c r="I78" s="61"/>
      <x:c r="J78" s="61"/>
      <x:c r="K78" s="61"/>
      <x:c r="L78" s="61"/>
      <x:c r="M78" s="61"/>
      <x:c r="N78" s="61"/>
      <x:c r="O78" s="61"/>
      <x:c r="P78" s="61"/>
      <x:c r="Q78" s="61"/>
      <x:c r="R78" s="61"/>
      <x:c r="S78" s="61"/>
      <x:c r="T78" s="61"/>
      <x:c r="U78" s="61"/>
      <x:c r="V78" s="61"/>
      <x:c r="W78" s="61"/>
      <x:c r="X78" s="61"/>
      <x:c r="Y78" s="61"/>
      <x:c r="Z78" s="61"/>
    </x:row>
    <x:row r="79">
      <x:c r="A79" s="61"/>
      <x:c r="B79" s="61"/>
      <x:c r="C79" s="61"/>
      <x:c r="D79" s="61"/>
      <x:c r="E79" s="61"/>
      <x:c r="F79" s="61"/>
      <x:c r="G79" s="61"/>
      <x:c r="H79" s="61"/>
      <x:c r="I79" s="61"/>
      <x:c r="J79" s="61"/>
      <x:c r="K79" s="61"/>
      <x:c r="L79" s="61"/>
      <x:c r="M79" s="61"/>
      <x:c r="N79" s="61"/>
      <x:c r="O79" s="61"/>
      <x:c r="P79" s="61"/>
      <x:c r="Q79" s="61"/>
      <x:c r="R79" s="61"/>
      <x:c r="S79" s="61"/>
      <x:c r="T79" s="61"/>
      <x:c r="U79" s="61"/>
      <x:c r="V79" s="61"/>
      <x:c r="W79" s="61"/>
      <x:c r="X79" s="61"/>
      <x:c r="Y79" s="61"/>
      <x:c r="Z79" s="61"/>
    </x:row>
    <x:row r="80">
      <x:c r="A80" s="61"/>
      <x:c r="B80" s="61"/>
      <x:c r="C80" s="61"/>
      <x:c r="D80" s="61"/>
      <x:c r="E80" s="61"/>
      <x:c r="F80" s="61"/>
      <x:c r="G80" s="61"/>
      <x:c r="H80" s="61"/>
      <x:c r="I80" s="61"/>
      <x:c r="J80" s="61"/>
      <x:c r="K80" s="61"/>
      <x:c r="L80" s="61"/>
      <x:c r="M80" s="61"/>
      <x:c r="N80" s="61"/>
      <x:c r="O80" s="61"/>
      <x:c r="P80" s="61"/>
      <x:c r="Q80" s="61"/>
      <x:c r="R80" s="61"/>
      <x:c r="S80" s="61"/>
      <x:c r="T80" s="61"/>
      <x:c r="U80" s="61"/>
      <x:c r="V80" s="61"/>
      <x:c r="W80" s="61"/>
      <x:c r="X80" s="61"/>
      <x:c r="Y80" s="61"/>
      <x:c r="Z80" s="61"/>
    </x:row>
    <x:row r="81">
      <x:c r="A81" s="61"/>
      <x:c r="B81" s="61"/>
      <x:c r="C81" s="61"/>
      <x:c r="D81" s="61"/>
      <x:c r="E81" s="61"/>
      <x:c r="F81" s="61"/>
      <x:c r="G81" s="61"/>
      <x:c r="H81" s="61"/>
      <x:c r="I81" s="61"/>
      <x:c r="J81" s="61"/>
      <x:c r="K81" s="61"/>
      <x:c r="L81" s="61"/>
      <x:c r="M81" s="61"/>
      <x:c r="N81" s="61"/>
      <x:c r="O81" s="61"/>
      <x:c r="P81" s="61"/>
      <x:c r="Q81" s="61"/>
      <x:c r="R81" s="61"/>
      <x:c r="S81" s="61"/>
      <x:c r="T81" s="61"/>
      <x:c r="U81" s="61"/>
      <x:c r="V81" s="61"/>
      <x:c r="W81" s="61"/>
      <x:c r="X81" s="61"/>
      <x:c r="Y81" s="61"/>
      <x:c r="Z81" s="61"/>
    </x:row>
    <x:row r="82">
      <x:c r="A82" s="61"/>
      <x:c r="B82" s="61"/>
      <x:c r="C82" s="61"/>
      <x:c r="D82" s="61"/>
      <x:c r="E82" s="61"/>
      <x:c r="F82" s="61"/>
      <x:c r="G82" s="61"/>
      <x:c r="H82" s="61"/>
      <x:c r="I82" s="61"/>
      <x:c r="J82" s="61"/>
      <x:c r="K82" s="61"/>
      <x:c r="L82" s="61"/>
      <x:c r="M82" s="61"/>
      <x:c r="N82" s="61"/>
      <x:c r="O82" s="61"/>
      <x:c r="P82" s="61"/>
      <x:c r="Q82" s="61"/>
      <x:c r="R82" s="61"/>
      <x:c r="S82" s="61"/>
      <x:c r="T82" s="61"/>
      <x:c r="U82" s="61"/>
      <x:c r="V82" s="61"/>
      <x:c r="W82" s="61"/>
      <x:c r="X82" s="61"/>
      <x:c r="Y82" s="61"/>
      <x:c r="Z82" s="61"/>
    </x:row>
    <x:row r="83">
      <x:c r="A83" s="61"/>
      <x:c r="B83" s="61"/>
      <x:c r="C83" s="61"/>
      <x:c r="D83" s="61"/>
      <x:c r="E83" s="61"/>
      <x:c r="F83" s="61"/>
      <x:c r="G83" s="61"/>
      <x:c r="H83" s="61"/>
      <x:c r="I83" s="61"/>
      <x:c r="J83" s="61"/>
      <x:c r="K83" s="61"/>
      <x:c r="L83" s="61"/>
      <x:c r="M83" s="61"/>
      <x:c r="N83" s="61"/>
      <x:c r="O83" s="61"/>
      <x:c r="P83" s="61"/>
      <x:c r="Q83" s="61"/>
      <x:c r="R83" s="61"/>
      <x:c r="S83" s="61"/>
      <x:c r="T83" s="61"/>
      <x:c r="U83" s="61"/>
      <x:c r="V83" s="61"/>
      <x:c r="W83" s="61"/>
      <x:c r="X83" s="61"/>
      <x:c r="Y83" s="61"/>
      <x:c r="Z83" s="61"/>
    </x:row>
    <x:row r="84">
      <x:c r="A84" s="61"/>
      <x:c r="B84" s="61"/>
      <x:c r="C84" s="61"/>
      <x:c r="D84" s="61"/>
      <x:c r="E84" s="61"/>
      <x:c r="F84" s="61"/>
      <x:c r="G84" s="61"/>
      <x:c r="H84" s="61"/>
      <x:c r="I84" s="61"/>
      <x:c r="J84" s="61"/>
      <x:c r="K84" s="61"/>
      <x:c r="L84" s="61"/>
      <x:c r="M84" s="61"/>
      <x:c r="N84" s="61"/>
      <x:c r="O84" s="61"/>
      <x:c r="P84" s="61"/>
      <x:c r="Q84" s="61"/>
      <x:c r="R84" s="61"/>
      <x:c r="S84" s="61"/>
      <x:c r="T84" s="61"/>
      <x:c r="U84" s="61"/>
      <x:c r="V84" s="61"/>
      <x:c r="W84" s="61"/>
      <x:c r="X84" s="61"/>
      <x:c r="Y84" s="61"/>
      <x:c r="Z84" s="61"/>
    </x:row>
    <x:row r="85">
      <x:c r="A85" s="61"/>
      <x:c r="B85" s="61"/>
      <x:c r="C85" s="61"/>
      <x:c r="D85" s="61"/>
      <x:c r="E85" s="61"/>
      <x:c r="F85" s="61"/>
      <x:c r="G85" s="61"/>
      <x:c r="H85" s="61"/>
      <x:c r="I85" s="61"/>
      <x:c r="J85" s="61"/>
      <x:c r="K85" s="61"/>
      <x:c r="L85" s="61"/>
      <x:c r="M85" s="61"/>
      <x:c r="N85" s="61"/>
      <x:c r="O85" s="61"/>
      <x:c r="P85" s="61"/>
      <x:c r="Q85" s="61"/>
      <x:c r="R85" s="61"/>
      <x:c r="S85" s="61"/>
      <x:c r="T85" s="61"/>
      <x:c r="U85" s="61"/>
      <x:c r="V85" s="61"/>
      <x:c r="W85" s="61"/>
      <x:c r="X85" s="61"/>
      <x:c r="Y85" s="61"/>
      <x:c r="Z85" s="61"/>
    </x:row>
    <x:row r="86">
      <x:c r="A86" s="61"/>
      <x:c r="B86" s="61"/>
      <x:c r="C86" s="61"/>
      <x:c r="D86" s="61"/>
      <x:c r="E86" s="61"/>
      <x:c r="F86" s="61"/>
      <x:c r="G86" s="61"/>
      <x:c r="H86" s="61"/>
      <x:c r="I86" s="61"/>
      <x:c r="J86" s="61"/>
      <x:c r="K86" s="61"/>
      <x:c r="L86" s="61"/>
      <x:c r="M86" s="61"/>
      <x:c r="N86" s="61"/>
      <x:c r="O86" s="61"/>
      <x:c r="P86" s="61"/>
      <x:c r="Q86" s="61"/>
      <x:c r="R86" s="61"/>
      <x:c r="S86" s="61"/>
      <x:c r="T86" s="61"/>
      <x:c r="U86" s="61"/>
      <x:c r="V86" s="61"/>
      <x:c r="W86" s="61"/>
      <x:c r="X86" s="61"/>
      <x:c r="Y86" s="61"/>
      <x:c r="Z86" s="61"/>
    </x:row>
    <x:row r="87">
      <x:c r="A87" s="61"/>
      <x:c r="B87" s="61"/>
      <x:c r="C87" s="61"/>
      <x:c r="D87" s="61"/>
      <x:c r="E87" s="61"/>
      <x:c r="F87" s="61"/>
      <x:c r="G87" s="61"/>
      <x:c r="H87" s="61"/>
      <x:c r="I87" s="61"/>
      <x:c r="J87" s="61"/>
      <x:c r="K87" s="61"/>
      <x:c r="L87" s="61"/>
      <x:c r="M87" s="61"/>
      <x:c r="N87" s="61"/>
      <x:c r="O87" s="61"/>
      <x:c r="P87" s="61"/>
      <x:c r="Q87" s="61"/>
      <x:c r="R87" s="61"/>
      <x:c r="S87" s="61"/>
      <x:c r="T87" s="61"/>
      <x:c r="U87" s="61"/>
      <x:c r="V87" s="61"/>
      <x:c r="W87" s="61"/>
      <x:c r="X87" s="61"/>
      <x:c r="Y87" s="61"/>
      <x:c r="Z87" s="61"/>
    </x:row>
    <x:row r="88">
      <x:c r="A88" s="61"/>
      <x:c r="B88" s="61"/>
      <x:c r="C88" s="61"/>
      <x:c r="D88" s="61"/>
      <x:c r="E88" s="61"/>
      <x:c r="F88" s="61"/>
      <x:c r="G88" s="61"/>
      <x:c r="H88" s="61"/>
      <x:c r="I88" s="61"/>
      <x:c r="J88" s="61"/>
      <x:c r="K88" s="61"/>
      <x:c r="L88" s="61"/>
      <x:c r="M88" s="61"/>
      <x:c r="N88" s="61"/>
      <x:c r="O88" s="61"/>
      <x:c r="P88" s="61"/>
      <x:c r="Q88" s="61"/>
      <x:c r="R88" s="61"/>
      <x:c r="S88" s="61"/>
      <x:c r="T88" s="61"/>
      <x:c r="U88" s="61"/>
      <x:c r="V88" s="61"/>
      <x:c r="W88" s="61"/>
      <x:c r="X88" s="61"/>
      <x:c r="Y88" s="61"/>
      <x:c r="Z88" s="61"/>
    </x:row>
    <x:row r="89">
      <x:c r="A89" s="61"/>
      <x:c r="B89" s="61"/>
      <x:c r="C89" s="61"/>
      <x:c r="D89" s="61"/>
      <x:c r="E89" s="61"/>
      <x:c r="F89" s="61"/>
      <x:c r="G89" s="61"/>
      <x:c r="H89" s="61"/>
      <x:c r="I89" s="61"/>
      <x:c r="J89" s="61"/>
      <x:c r="K89" s="61"/>
      <x:c r="L89" s="61"/>
      <x:c r="M89" s="61"/>
      <x:c r="N89" s="61"/>
      <x:c r="O89" s="61"/>
      <x:c r="P89" s="61"/>
      <x:c r="Q89" s="61"/>
      <x:c r="R89" s="61"/>
      <x:c r="S89" s="61"/>
      <x:c r="T89" s="61"/>
      <x:c r="U89" s="61"/>
      <x:c r="V89" s="61"/>
      <x:c r="W89" s="61"/>
      <x:c r="X89" s="61"/>
      <x:c r="Y89" s="61"/>
      <x:c r="Z89" s="61"/>
    </x:row>
    <x:row r="90">
      <x:c r="A90" s="61"/>
      <x:c r="B90" s="61"/>
      <x:c r="C90" s="61"/>
      <x:c r="D90" s="61"/>
      <x:c r="E90" s="61"/>
      <x:c r="F90" s="61"/>
      <x:c r="G90" s="61"/>
      <x:c r="H90" s="61"/>
      <x:c r="I90" s="61"/>
      <x:c r="J90" s="61"/>
      <x:c r="K90" s="61"/>
      <x:c r="L90" s="61"/>
      <x:c r="M90" s="61"/>
      <x:c r="N90" s="61"/>
      <x:c r="O90" s="61"/>
      <x:c r="P90" s="61"/>
      <x:c r="Q90" s="61"/>
      <x:c r="R90" s="61"/>
      <x:c r="S90" s="61"/>
      <x:c r="T90" s="61"/>
      <x:c r="U90" s="61"/>
      <x:c r="V90" s="61"/>
      <x:c r="W90" s="61"/>
      <x:c r="X90" s="61"/>
      <x:c r="Y90" s="61"/>
      <x:c r="Z90" s="61"/>
    </x:row>
    <x:row r="91">
      <x:c r="A91" s="61"/>
      <x:c r="B91" s="61"/>
      <x:c r="C91" s="61"/>
      <x:c r="D91" s="61"/>
      <x:c r="E91" s="61"/>
      <x:c r="F91" s="61"/>
      <x:c r="G91" s="61"/>
      <x:c r="H91" s="61"/>
      <x:c r="I91" s="61"/>
      <x:c r="J91" s="61"/>
      <x:c r="K91" s="61"/>
      <x:c r="L91" s="61"/>
      <x:c r="M91" s="61"/>
      <x:c r="N91" s="61"/>
      <x:c r="O91" s="61"/>
      <x:c r="P91" s="61"/>
      <x:c r="Q91" s="61"/>
      <x:c r="R91" s="61"/>
      <x:c r="S91" s="61"/>
      <x:c r="T91" s="61"/>
      <x:c r="U91" s="61"/>
      <x:c r="V91" s="61"/>
      <x:c r="W91" s="61"/>
      <x:c r="X91" s="61"/>
      <x:c r="Y91" s="61"/>
      <x:c r="Z91" s="61"/>
    </x:row>
    <x:row r="92">
      <x:c r="A92" s="61"/>
      <x:c r="B92" s="61"/>
      <x:c r="C92" s="61"/>
      <x:c r="D92" s="61"/>
      <x:c r="E92" s="61"/>
      <x:c r="F92" s="61"/>
      <x:c r="G92" s="61"/>
      <x:c r="H92" s="61"/>
      <x:c r="I92" s="61"/>
      <x:c r="J92" s="61"/>
      <x:c r="K92" s="61"/>
      <x:c r="L92" s="61"/>
      <x:c r="M92" s="61"/>
      <x:c r="N92" s="61"/>
      <x:c r="O92" s="61"/>
      <x:c r="P92" s="61"/>
      <x:c r="Q92" s="61"/>
      <x:c r="R92" s="61"/>
      <x:c r="S92" s="61"/>
      <x:c r="T92" s="61"/>
      <x:c r="U92" s="61"/>
      <x:c r="V92" s="61"/>
      <x:c r="W92" s="61"/>
      <x:c r="X92" s="61"/>
      <x:c r="Y92" s="61"/>
      <x:c r="Z92" s="61"/>
    </x:row>
    <x:row r="93">
      <x:c r="A93" s="61"/>
      <x:c r="B93" s="61"/>
      <x:c r="C93" s="61"/>
      <x:c r="D93" s="61"/>
      <x:c r="E93" s="61"/>
      <x:c r="F93" s="61"/>
      <x:c r="G93" s="61"/>
      <x:c r="H93" s="61"/>
      <x:c r="I93" s="61"/>
      <x:c r="J93" s="61"/>
      <x:c r="K93" s="61"/>
      <x:c r="L93" s="61"/>
      <x:c r="M93" s="61"/>
      <x:c r="N93" s="61"/>
      <x:c r="O93" s="61"/>
      <x:c r="P93" s="61"/>
      <x:c r="Q93" s="61"/>
      <x:c r="R93" s="61"/>
      <x:c r="S93" s="61"/>
      <x:c r="T93" s="61"/>
      <x:c r="U93" s="61"/>
      <x:c r="V93" s="61"/>
      <x:c r="W93" s="61"/>
      <x:c r="X93" s="61"/>
      <x:c r="Y93" s="61"/>
      <x:c r="Z93" s="61"/>
    </x:row>
    <x:row r="94">
      <x:c r="A94" s="61"/>
      <x:c r="B94" s="61"/>
      <x:c r="C94" s="61"/>
      <x:c r="D94" s="61"/>
      <x:c r="E94" s="61"/>
      <x:c r="F94" s="61"/>
      <x:c r="G94" s="61"/>
      <x:c r="H94" s="61"/>
      <x:c r="I94" s="61"/>
      <x:c r="J94" s="61"/>
      <x:c r="K94" s="61"/>
      <x:c r="L94" s="61"/>
      <x:c r="M94" s="61"/>
      <x:c r="N94" s="61"/>
      <x:c r="O94" s="61"/>
      <x:c r="P94" s="61"/>
      <x:c r="Q94" s="61"/>
      <x:c r="R94" s="61"/>
      <x:c r="S94" s="61"/>
      <x:c r="T94" s="61"/>
      <x:c r="U94" s="61"/>
      <x:c r="V94" s="61"/>
      <x:c r="W94" s="61"/>
      <x:c r="X94" s="61"/>
      <x:c r="Y94" s="61"/>
      <x:c r="Z94" s="61"/>
    </x:row>
    <x:row r="95">
      <x:c r="A95" s="61"/>
      <x:c r="B95" s="61"/>
      <x:c r="C95" s="61"/>
      <x:c r="D95" s="61"/>
      <x:c r="E95" s="61"/>
      <x:c r="F95" s="61"/>
      <x:c r="G95" s="61"/>
      <x:c r="H95" s="61"/>
      <x:c r="I95" s="61"/>
      <x:c r="J95" s="61"/>
      <x:c r="K95" s="61"/>
      <x:c r="L95" s="61"/>
      <x:c r="M95" s="61"/>
      <x:c r="N95" s="61"/>
      <x:c r="O95" s="61"/>
      <x:c r="P95" s="61"/>
      <x:c r="Q95" s="61"/>
      <x:c r="R95" s="61"/>
      <x:c r="S95" s="61"/>
      <x:c r="T95" s="61"/>
      <x:c r="U95" s="61"/>
      <x:c r="V95" s="61"/>
      <x:c r="W95" s="61"/>
      <x:c r="X95" s="61"/>
      <x:c r="Y95" s="61"/>
      <x:c r="Z95" s="61"/>
    </x:row>
    <x:row r="96">
      <x:c r="A96" s="61"/>
      <x:c r="B96" s="61"/>
      <x:c r="C96" s="61"/>
      <x:c r="D96" s="61"/>
      <x:c r="E96" s="61"/>
      <x:c r="F96" s="61"/>
      <x:c r="G96" s="61"/>
      <x:c r="H96" s="61"/>
      <x:c r="I96" s="61"/>
      <x:c r="J96" s="61"/>
      <x:c r="K96" s="61"/>
      <x:c r="L96" s="61"/>
      <x:c r="M96" s="61"/>
      <x:c r="N96" s="61"/>
      <x:c r="O96" s="61"/>
      <x:c r="P96" s="61"/>
      <x:c r="Q96" s="61"/>
      <x:c r="R96" s="61"/>
      <x:c r="S96" s="61"/>
      <x:c r="T96" s="61"/>
      <x:c r="U96" s="61"/>
      <x:c r="V96" s="61"/>
      <x:c r="W96" s="61"/>
      <x:c r="X96" s="61"/>
      <x:c r="Y96" s="61"/>
      <x:c r="Z96" s="61"/>
    </x:row>
    <x:row r="97">
      <x:c r="A97" s="61"/>
      <x:c r="B97" s="61"/>
      <x:c r="C97" s="61"/>
      <x:c r="D97" s="61"/>
      <x:c r="E97" s="61"/>
      <x:c r="F97" s="61"/>
      <x:c r="G97" s="61"/>
      <x:c r="H97" s="61"/>
      <x:c r="I97" s="61"/>
      <x:c r="J97" s="61"/>
      <x:c r="K97" s="61"/>
      <x:c r="L97" s="61"/>
      <x:c r="M97" s="61"/>
      <x:c r="N97" s="61"/>
      <x:c r="O97" s="61"/>
      <x:c r="P97" s="61"/>
      <x:c r="Q97" s="61"/>
      <x:c r="R97" s="61"/>
      <x:c r="S97" s="61"/>
      <x:c r="T97" s="61"/>
      <x:c r="U97" s="61"/>
      <x:c r="V97" s="61"/>
      <x:c r="W97" s="61"/>
      <x:c r="X97" s="61"/>
      <x:c r="Y97" s="61"/>
      <x:c r="Z97" s="61"/>
    </x:row>
    <x:row r="98">
      <x:c r="A98" s="61"/>
      <x:c r="B98" s="61"/>
      <x:c r="C98" s="61"/>
      <x:c r="D98" s="61"/>
      <x:c r="E98" s="61"/>
      <x:c r="F98" s="61"/>
      <x:c r="G98" s="61"/>
      <x:c r="H98" s="61"/>
      <x:c r="I98" s="61"/>
      <x:c r="J98" s="61"/>
      <x:c r="K98" s="61"/>
      <x:c r="L98" s="61"/>
      <x:c r="M98" s="61"/>
      <x:c r="N98" s="61"/>
      <x:c r="O98" s="61"/>
      <x:c r="P98" s="61"/>
      <x:c r="Q98" s="61"/>
      <x:c r="R98" s="61"/>
      <x:c r="S98" s="61"/>
      <x:c r="T98" s="61"/>
      <x:c r="U98" s="61"/>
      <x:c r="V98" s="61"/>
      <x:c r="W98" s="61"/>
      <x:c r="X98" s="61"/>
      <x:c r="Y98" s="61"/>
      <x:c r="Z98" s="61"/>
    </x:row>
    <x:row r="99">
      <x:c r="A99" s="61"/>
      <x:c r="B99" s="61"/>
      <x:c r="C99" s="61"/>
      <x:c r="D99" s="61"/>
      <x:c r="E99" s="61"/>
      <x:c r="F99" s="61"/>
      <x:c r="G99" s="61"/>
      <x:c r="H99" s="61"/>
      <x:c r="I99" s="61"/>
      <x:c r="J99" s="61"/>
      <x:c r="K99" s="61"/>
      <x:c r="L99" s="61"/>
      <x:c r="M99" s="61"/>
      <x:c r="N99" s="61"/>
      <x:c r="O99" s="61"/>
      <x:c r="P99" s="61"/>
      <x:c r="Q99" s="61"/>
      <x:c r="R99" s="61"/>
      <x:c r="S99" s="61"/>
      <x:c r="T99" s="61"/>
      <x:c r="U99" s="61"/>
      <x:c r="V99" s="61"/>
      <x:c r="W99" s="61"/>
      <x:c r="X99" s="61"/>
      <x:c r="Y99" s="61"/>
      <x:c r="Z99" s="61"/>
    </x:row>
    <x:row r="100">
      <x:c r="A100" s="61"/>
      <x:c r="B100" s="61"/>
      <x:c r="C100" s="61"/>
      <x:c r="D100" s="61"/>
      <x:c r="E100" s="61"/>
      <x:c r="F100" s="61"/>
      <x:c r="G100" s="61"/>
      <x:c r="H100" s="61"/>
      <x:c r="I100" s="61"/>
      <x:c r="J100" s="61"/>
      <x:c r="K100" s="61"/>
      <x:c r="L100" s="61"/>
      <x:c r="M100" s="61"/>
      <x:c r="N100" s="61"/>
      <x:c r="O100" s="61"/>
      <x:c r="P100" s="61"/>
      <x:c r="Q100" s="61"/>
      <x:c r="R100" s="61"/>
      <x:c r="S100" s="61"/>
      <x:c r="T100" s="61"/>
      <x:c r="U100" s="61"/>
      <x:c r="V100" s="61"/>
      <x:c r="W100" s="61"/>
      <x:c r="X100" s="61"/>
      <x:c r="Y100" s="61"/>
      <x:c r="Z100" s="61"/>
    </x:row>
  </x:sheetData>
  <x:mergeCells>
    <x:mergeCell ref="A1:O1"/>
  </x:mergeCells>
  <x:pageMargins left="0.7" right="0.7" top="0.75" bottom="0.75" header="0.3" footer="0.3"/>
</x:worksheet>
</file>

<file path=xl/worksheets/sheet5.xml><?xml version="1.0" encoding="utf-8"?>
<x:worksheet xmlns:x="http://schemas.openxmlformats.org/spreadsheetml/2006/main">
  <x:sheetFormatPr defaultRowHeight="15"/>
  <x:cols>
    <x:col min="1" max="1" width="11" hidden="0" customWidth="1"/>
    <x:col min="2" max="2" width="22" hidden="0" customWidth="1"/>
    <x:col min="3" max="3" width="20" hidden="0" customWidth="1"/>
    <x:col min="4" max="4" width="16" hidden="0" customWidth="1"/>
    <x:col min="5" max="5" width="20" hidden="0" customWidth="1"/>
    <x:col min="6" max="6" width="16" hidden="0" customWidth="1"/>
    <x:col min="7" max="7" width="18" hidden="0" customWidth="1"/>
    <x:col min="8" max="8" width="18" hidden="0" customWidth="1"/>
    <x:col min="9" max="9" width="20" hidden="0" customWidth="1"/>
    <x:col min="10" max="10" width="31" hidden="0" customWidth="1"/>
    <x:col min="11" max="11" width="44" hidden="0" customWidth="1"/>
    <x:col min="12" max="12" width="44" hidden="0" customWidth="1"/>
    <x:col min="13" max="13" width="34" hidden="0" customWidth="1"/>
    <x:col min="14" max="14" width="34" hidden="0" customWidth="1"/>
  </x:cols>
  <x:sheetData>
    <x:row r="1">
      <x:c r="A1" s="78" t="str">
        <x:v>DUCKWORKS | AI GOVERNANCE &amp; RISK VIEW</x:v>
      </x:c>
      <x:c r="B1" s="61"/>
      <x:c r="C1" s="61"/>
      <x:c r="D1" s="61"/>
      <x:c r="E1" s="61"/>
      <x:c r="F1" s="61"/>
      <x:c r="G1" s="61"/>
      <x:c r="H1" s="61"/>
      <x:c r="I1" s="61"/>
      <x:c r="J1" s="61"/>
      <x:c r="K1" s="61"/>
      <x:c r="L1" s="61"/>
      <x:c r="M1" s="61"/>
      <x:c r="N1" s="61"/>
      <x:c r="O1" s="61"/>
      <x:c r="P1" s="61"/>
      <x:c r="Q1" s="61"/>
      <x:c r="R1" s="61"/>
      <x:c r="S1" s="61"/>
      <x:c r="T1" s="61"/>
      <x:c r="U1" s="61"/>
      <x:c r="V1" s="61"/>
      <x:c r="W1" s="61"/>
      <x:c r="X1" s="61"/>
      <x:c r="Y1" s="61"/>
      <x:c r="Z1" s="61"/>
    </x:row>
    <x:row r="2">
      <x:c r="A2" s="61"/>
      <x:c r="B2" s="61"/>
      <x:c r="C2" s="61"/>
      <x:c r="D2" s="61"/>
      <x:c r="E2" s="61"/>
      <x:c r="F2" s="61"/>
      <x:c r="G2" s="61"/>
      <x:c r="H2" s="61"/>
      <x:c r="I2" s="61"/>
      <x:c r="J2" s="61"/>
      <x:c r="K2" s="61"/>
      <x:c r="L2" s="61"/>
      <x:c r="M2" s="61"/>
      <x:c r="N2" s="61"/>
      <x:c r="O2" s="61"/>
      <x:c r="P2" s="61"/>
      <x:c r="Q2" s="61"/>
      <x:c r="R2" s="61"/>
      <x:c r="S2" s="61"/>
      <x:c r="T2" s="61"/>
      <x:c r="U2" s="61"/>
      <x:c r="V2" s="61"/>
      <x:c r="W2" s="61"/>
      <x:c r="X2" s="61"/>
      <x:c r="Y2" s="61"/>
      <x:c r="Z2" s="61"/>
    </x:row>
    <x:row r="3">
      <x:c r="A3" s="63" t="str">
        <x:v>AI ID</x:v>
      </x:c>
      <x:c r="B3" s="63" t="str">
        <x:v>System</x:v>
      </x:c>
      <x:c r="C3" s="63" t="str">
        <x:v>Governance Priority</x:v>
      </x:c>
      <x:c r="D3" s="63" t="str">
        <x:v>Inherent Risk</x:v>
      </x:c>
      <x:c r="E3" s="63" t="str">
        <x:v>Control Effectiveness</x:v>
      </x:c>
      <x:c r="F3" s="63" t="str">
        <x:v>Residual Risk</x:v>
      </x:c>
      <x:c r="G3" s="63" t="str">
        <x:v>AIA Status</x:v>
      </x:c>
      <x:c r="H3" s="63" t="str">
        <x:v>Security Status</x:v>
      </x:c>
      <x:c r="I3" s="63" t="str">
        <x:v>Approval Status</x:v>
      </x:c>
      <x:c r="J3" s="63" t="str">
        <x:v>Current Gate</x:v>
      </x:c>
      <x:c r="K3" s="63" t="str">
        <x:v>Key Risks</x:v>
      </x:c>
      <x:c r="L3" s="63" t="str">
        <x:v>Key Controls / Guardrails</x:v>
      </x:c>
      <x:c r="M3" s="63" t="str">
        <x:v>KPIs / KRIs</x:v>
      </x:c>
      <x:c r="N3" s="63" t="str">
        <x:v>Monitoring / Drift</x:v>
      </x:c>
      <x:c r="O3" s="61"/>
      <x:c r="P3" s="61"/>
      <x:c r="Q3" s="61"/>
      <x:c r="R3" s="61"/>
      <x:c r="S3" s="61"/>
      <x:c r="T3" s="61"/>
      <x:c r="U3" s="61"/>
      <x:c r="V3" s="61"/>
      <x:c r="W3" s="61"/>
      <x:c r="X3" s="61"/>
      <x:c r="Y3" s="61"/>
      <x:c r="Z3" s="61"/>
    </x:row>
    <x:row r="4">
      <x:c r="A4" s="67" t="str">
        <x:f>'AI Asset Inventory'!A5</x:f>
        <x:v>AI-001</x:v>
      </x:c>
      <x:c r="B4" s="67" t="str">
        <x:f>'AI Asset Inventory'!B5</x:f>
        <x:v>DuckDesign AI</x:v>
      </x:c>
      <x:c r="C4" s="67" t="str">
        <x:f>'AI Asset Inventory'!AF5</x:f>
        <x:v>High</x:v>
      </x:c>
      <x:c r="D4" s="67" t="str">
        <x:f>'AI Asset Inventory'!AG5</x:f>
        <x:v>High (16)</x:v>
      </x:c>
      <x:c r="E4" s="67" t="str">
        <x:f>'AI Asset Inventory'!AH5</x:f>
        <x:v>Partially Effective</x:v>
      </x:c>
      <x:c r="F4" s="67" t="str">
        <x:f>'AI Asset Inventory'!AI5</x:f>
        <x:v>High (10)</x:v>
      </x:c>
      <x:c r="G4" s="67" t="str">
        <x:f>'AI Asset Inventory'!AJ5</x:f>
        <x:v>In Progress</x:v>
      </x:c>
      <x:c r="H4" s="67" t="str">
        <x:f>'AI Asset Inventory'!AK5</x:f>
        <x:v>In Progress</x:v>
      </x:c>
      <x:c r="I4" s="67" t="str">
        <x:f>'AI Asset Inventory'!AL5</x:f>
        <x:v>Under Review</x:v>
      </x:c>
      <x:c r="J4" s="67" t="str">
        <x:f>'AI Asset Inventory'!AM5</x:f>
        <x:v>Restricted pilot only</x:v>
      </x:c>
      <x:c r="K4" s="67" t="str">
        <x:f>'AI Asset Inventory'!AN5</x:f>
        <x:v>Unsafe or incorrect design recommendations; IP leakage; hallucinated technical parameters; provenance issues; automation bias</x:v>
      </x:c>
      <x:c r="L4" s="67" t="str">
        <x:f>'AI Asset Inventory'!AO5</x:f>
        <x:v>Human engineering approval; restricted data access; output validation; change control; contractual confidentiality; logging</x:v>
      </x:c>
      <x:c r="M4" s="67" t="str">
        <x:f>'AI Asset Inventory'!AP5</x:f>
        <x:v>Unsafe recommendation rate; engineer override rate; validation failure rate</x:v>
      </x:c>
      <x:c r="N4" s="67" t="str">
        <x:f>'AI Asset Inventory'!AQ5</x:f>
        <x:v>Output quality monitoring; model/version change monitoring</x:v>
      </x:c>
      <x:c r="O4" s="61"/>
      <x:c r="P4" s="61"/>
      <x:c r="Q4" s="61"/>
      <x:c r="R4" s="61"/>
      <x:c r="S4" s="61"/>
      <x:c r="T4" s="61"/>
      <x:c r="U4" s="61"/>
      <x:c r="V4" s="61"/>
      <x:c r="W4" s="61"/>
      <x:c r="X4" s="61"/>
      <x:c r="Y4" s="61"/>
      <x:c r="Z4" s="61"/>
    </x:row>
    <x:row r="5">
      <x:c r="A5" s="67" t="str">
        <x:f>'AI Asset Inventory'!A6</x:f>
        <x:v>AI-002</x:v>
      </x:c>
      <x:c r="B5" s="67" t="str">
        <x:f>'AI Asset Inventory'!B6</x:f>
        <x:v>QuackBot</x:v>
      </x:c>
      <x:c r="C5" s="67" t="str">
        <x:f>'AI Asset Inventory'!AF6</x:f>
        <x:v>High</x:v>
      </x:c>
      <x:c r="D5" s="67" t="str">
        <x:f>'AI Asset Inventory'!AG6</x:f>
        <x:v>High (16)</x:v>
      </x:c>
      <x:c r="E5" s="67" t="str">
        <x:f>'AI Asset Inventory'!AH6</x:f>
        <x:v>Partially Effective</x:v>
      </x:c>
      <x:c r="F5" s="67" t="str">
        <x:f>'AI Asset Inventory'!AI6</x:f>
        <x:v>High (12)</x:v>
      </x:c>
      <x:c r="G5" s="67" t="str">
        <x:f>'AI Asset Inventory'!AJ6</x:f>
        <x:v>In Progress</x:v>
      </x:c>
      <x:c r="H5" s="67" t="str">
        <x:f>'AI Asset Inventory'!AK6</x:f>
        <x:v>Planned</x:v>
      </x:c>
      <x:c r="I5" s="67" t="str">
        <x:f>'AI Asset Inventory'!AL6</x:f>
        <x:v>Not Submitted</x:v>
      </x:c>
      <x:c r="J5" s="67" t="str">
        <x:f>'AI Asset Inventory'!AM6</x:f>
        <x:v>Production blocked pending gates</x:v>
      </x:c>
      <x:c r="K5" s="67" t="str">
        <x:f>'AI Asset Inventory'!AN6</x:f>
        <x:v>Hallucination; incorrect warranty advice; personal-data leakage; prompt injection; RAG poisoning; unauthorized retrieval</x:v>
      </x:c>
      <x:c r="L5" s="67" t="str">
        <x:f>'AI Asset Inventory'!AO6</x:f>
        <x:v>RAG source allowlist; least-privilege retrieval; safety filters; escalation rules; response logging; red-team testing</x:v>
      </x:c>
      <x:c r="M5" s="67" t="str">
        <x:f>'AI Asset Inventory'!AP6</x:f>
        <x:v>Escalation rate; unsupported-answer rate; complaint rate; sensitive-data exposure events</x:v>
      </x:c>
      <x:c r="N5" s="67" t="str">
        <x:f>'AI Asset Inventory'!AQ6</x:f>
        <x:v>Retrieval quality; prompt-injection detections; content drift</x:v>
      </x:c>
      <x:c r="O5" s="61"/>
      <x:c r="P5" s="61"/>
      <x:c r="Q5" s="61"/>
      <x:c r="R5" s="61"/>
      <x:c r="S5" s="61"/>
      <x:c r="T5" s="61"/>
      <x:c r="U5" s="61"/>
      <x:c r="V5" s="61"/>
      <x:c r="W5" s="61"/>
      <x:c r="X5" s="61"/>
      <x:c r="Y5" s="61"/>
      <x:c r="Z5" s="61"/>
    </x:row>
    <x:row r="6">
      <x:c r="A6" s="67" t="str">
        <x:f>'AI Asset Inventory'!A7</x:f>
        <x:v>AI-003</x:v>
      </x:c>
      <x:c r="B6" s="67" t="str">
        <x:f>'AI Asset Inventory'!B7</x:f>
        <x:v>FeatherForecast</x:v>
      </x:c>
      <x:c r="C6" s="67" t="str">
        <x:f>'AI Asset Inventory'!AF7</x:f>
        <x:v>Medium</x:v>
      </x:c>
      <x:c r="D6" s="67" t="str">
        <x:f>'AI Asset Inventory'!AG7</x:f>
        <x:v>Moderate (9)</x:v>
      </x:c>
      <x:c r="E6" s="67" t="str">
        <x:f>'AI Asset Inventory'!AH7</x:f>
        <x:v>Effective</x:v>
      </x:c>
      <x:c r="F6" s="67" t="str">
        <x:f>'AI Asset Inventory'!AI7</x:f>
        <x:v>Moderate (6)</x:v>
      </x:c>
      <x:c r="G6" s="67" t="str">
        <x:f>'AI Asset Inventory'!AJ7</x:f>
        <x:v>Complete</x:v>
      </x:c>
      <x:c r="H6" s="67" t="str">
        <x:f>'AI Asset Inventory'!AK7</x:f>
        <x:v>Complete</x:v>
      </x:c>
      <x:c r="I6" s="67" t="str">
        <x:f>'AI Asset Inventory'!AL7</x:f>
        <x:v>Approved</x:v>
      </x:c>
      <x:c r="J6" s="67" t="str">
        <x:f>'AI Asset Inventory'!AM7</x:f>
        <x:v>Continue with monitoring</x:v>
      </x:c>
      <x:c r="K6" s="67" t="str">
        <x:f>'AI Asset Inventory'!AN7</x:f>
        <x:v>Model drift; poor historical data; forecast error; overreliance; supplier confidentiality; unexplained changes</x:v>
      </x:c>
      <x:c r="L6" s="67" t="str">
        <x:f>'AI Asset Inventory'!AO7</x:f>
        <x:v>Human planning approval; back-testing; drift thresholds; data-quality checks; version control</x:v>
      </x:c>
      <x:c r="M6" s="67" t="str">
        <x:f>'AI Asset Inventory'!AP7</x:f>
        <x:v>MAPE; stockout rate; forecast bias; override rate</x:v>
      </x:c>
      <x:c r="N6" s="67" t="str">
        <x:f>'AI Asset Inventory'!AQ7</x:f>
        <x:v>Monthly drift review; forecast performance monitoring</x:v>
      </x:c>
      <x:c r="O6" s="61"/>
      <x:c r="P6" s="61"/>
      <x:c r="Q6" s="61"/>
      <x:c r="R6" s="61"/>
      <x:c r="S6" s="61"/>
      <x:c r="T6" s="61"/>
      <x:c r="U6" s="61"/>
      <x:c r="V6" s="61"/>
      <x:c r="W6" s="61"/>
      <x:c r="X6" s="61"/>
      <x:c r="Y6" s="61"/>
      <x:c r="Z6" s="61"/>
    </x:row>
    <x:row r="7">
      <x:c r="A7" s="67" t="str">
        <x:f>'AI Asset Inventory'!A8</x:f>
        <x:v>AI-004</x:v>
      </x:c>
      <x:c r="B7" s="67" t="str">
        <x:f>'AI Asset Inventory'!B8</x:f>
        <x:v>WingInspect Vision</x:v>
      </x:c>
      <x:c r="C7" s="67" t="str">
        <x:f>'AI Asset Inventory'!AF8</x:f>
        <x:v>High</x:v>
      </x:c>
      <x:c r="D7" s="67" t="str">
        <x:f>'AI Asset Inventory'!AG8</x:f>
        <x:v>High (15)</x:v>
      </x:c>
      <x:c r="E7" s="67" t="str">
        <x:f>'AI Asset Inventory'!AH8</x:f>
        <x:v>Partially Effective</x:v>
      </x:c>
      <x:c r="F7" s="67" t="str">
        <x:f>'AI Asset Inventory'!AI8</x:f>
        <x:v>High (10)</x:v>
      </x:c>
      <x:c r="G7" s="67" t="str">
        <x:f>'AI Asset Inventory'!AJ8</x:f>
        <x:v>In Progress</x:v>
      </x:c>
      <x:c r="H7" s="67" t="str">
        <x:f>'AI Asset Inventory'!AK8</x:f>
        <x:v>In Progress</x:v>
      </x:c>
      <x:c r="I7" s="67" t="str">
        <x:f>'AI Asset Inventory'!AL8</x:f>
        <x:v>Conditionally Approved</x:v>
      </x:c>
      <x:c r="J7" s="67" t="str">
        <x:f>'AI Asset Inventory'!AM8</x:f>
        <x:v>Restricted pilot only</x:v>
      </x:c>
      <x:c r="K7" s="67" t="str">
        <x:f>'AI Asset Inventory'!AN8</x:f>
        <x:v>False negatives; false positives; training-data gaps; model degradation after product changes; poor image quality</x:v>
      </x:c>
      <x:c r="L7" s="67" t="str">
        <x:f>'AI Asset Inventory'!AO8</x:f>
        <x:v>Human final inspection; minimum performance thresholds; representative test sets; change-triggered revalidation</x:v>
      </x:c>
      <x:c r="M7" s="67" t="str">
        <x:f>'AI Asset Inventory'!AP8</x:f>
        <x:v>False-negative rate; false-positive rate; defect escape rate</x:v>
      </x:c>
      <x:c r="N7" s="67" t="str">
        <x:f>'AI Asset Inventory'!AQ8</x:f>
        <x:v>Performance by product line; camera/data-quality monitoring</x:v>
      </x:c>
      <x:c r="O7" s="61"/>
      <x:c r="P7" s="61"/>
      <x:c r="Q7" s="61"/>
      <x:c r="R7" s="61"/>
      <x:c r="S7" s="61"/>
      <x:c r="T7" s="61"/>
      <x:c r="U7" s="61"/>
      <x:c r="V7" s="61"/>
      <x:c r="W7" s="61"/>
      <x:c r="X7" s="61"/>
      <x:c r="Y7" s="61"/>
      <x:c r="Z7" s="61"/>
    </x:row>
    <x:row r="8">
      <x:c r="A8" s="67" t="str">
        <x:f>'AI Asset Inventory'!A9</x:f>
        <x:v>AI-005</x:v>
      </x:c>
      <x:c r="B8" s="67" t="str">
        <x:f>'AI Asset Inventory'!B9</x:f>
        <x:v>DuckTalent AI</x:v>
      </x:c>
      <x:c r="C8" s="67" t="str">
        <x:f>'AI Asset Inventory'!AF9</x:f>
        <x:v>Critical</x:v>
      </x:c>
      <x:c r="D8" s="67" t="str">
        <x:f>'AI Asset Inventory'!AG9</x:f>
        <x:v>Critical (20)</x:v>
      </x:c>
      <x:c r="E8" s="67" t="str">
        <x:f>'AI Asset Inventory'!AH9</x:f>
        <x:v>Not Implemented</x:v>
      </x:c>
      <x:c r="F8" s="67" t="str">
        <x:f>'AI Asset Inventory'!AI9</x:f>
        <x:v>Critical (20)</x:v>
      </x:c>
      <x:c r="G8" s="67" t="str">
        <x:f>'AI Asset Inventory'!AJ9</x:f>
        <x:v>Not Started</x:v>
      </x:c>
      <x:c r="H8" s="67" t="str">
        <x:f>'AI Asset Inventory'!AK9</x:f>
        <x:v>Not Started</x:v>
      </x:c>
      <x:c r="I8" s="67" t="str">
        <x:f>'AI Asset Inventory'!AL9</x:f>
        <x:v>Not Submitted</x:v>
      </x:c>
      <x:c r="J8" s="67" t="str">
        <x:f>'AI Asset Inventory'!AM9</x:f>
        <x:v>Do not deploy in current state</x:v>
      </x:c>
      <x:c r="K8" s="67" t="str">
        <x:f>'AI Asset Inventory'!AN9</x:f>
        <x:v>Discrimination; proxy bias; inaccurate ranking; explainability gaps; automation bias; privacy; accessibility; challenge rights</x:v>
      </x:c>
      <x:c r="L8" s="67" t="str">
        <x:f>'AI Asset Inventory'!AO9</x:f>
        <x:v>No automated rejection; human review; bias/fairness testing; documented criteria; candidate notice; appeal route; logging</x:v>
      </x:c>
      <x:c r="M8" s="67" t="str">
        <x:f>'AI Asset Inventory'!AP9</x:f>
        <x:v>Selection-rate differences; override rate; challenge rate; ranking error rate</x:v>
      </x:c>
      <x:c r="N8" s="67" t="str">
        <x:f>'AI Asset Inventory'!AQ9</x:f>
        <x:v>Fairness monitoring; model/vendor change review</x:v>
      </x:c>
      <x:c r="O8" s="61"/>
      <x:c r="P8" s="61"/>
      <x:c r="Q8" s="61"/>
      <x:c r="R8" s="61"/>
      <x:c r="S8" s="61"/>
      <x:c r="T8" s="61"/>
      <x:c r="U8" s="61"/>
      <x:c r="V8" s="61"/>
      <x:c r="W8" s="61"/>
      <x:c r="X8" s="61"/>
      <x:c r="Y8" s="61"/>
      <x:c r="Z8" s="61"/>
    </x:row>
    <x:row r="9">
      <x:c r="A9" s="67" t="str">
        <x:f>'AI Asset Inventory'!A10</x:f>
        <x:v>AI-006</x:v>
      </x:c>
      <x:c r="B9" s="67" t="str">
        <x:f>'AI Asset Inventory'!B10</x:f>
        <x:v>PondGPT</x:v>
      </x:c>
      <x:c r="C9" s="67" t="str">
        <x:f>'AI Asset Inventory'!AF10</x:f>
        <x:v>High</x:v>
      </x:c>
      <x:c r="D9" s="67" t="str">
        <x:f>'AI Asset Inventory'!AG10</x:f>
        <x:v>High (16)</x:v>
      </x:c>
      <x:c r="E9" s="67" t="str">
        <x:f>'AI Asset Inventory'!AH10</x:f>
        <x:v>Partially Effective</x:v>
      </x:c>
      <x:c r="F9" s="67" t="str">
        <x:f>'AI Asset Inventory'!AI10</x:f>
        <x:v>High (12)</x:v>
      </x:c>
      <x:c r="G9" s="67" t="str">
        <x:f>'AI Asset Inventory'!AJ10</x:f>
        <x:v>In Progress</x:v>
      </x:c>
      <x:c r="H9" s="67" t="str">
        <x:f>'AI Asset Inventory'!AK10</x:f>
        <x:v>In Progress</x:v>
      </x:c>
      <x:c r="I9" s="67" t="str">
        <x:f>'AI Asset Inventory'!AL10</x:f>
        <x:v>Conditionally Approved</x:v>
      </x:c>
      <x:c r="J9" s="67" t="str">
        <x:f>'AI Asset Inventory'!AM10</x:f>
        <x:v>Restricted pilot only</x:v>
      </x:c>
      <x:c r="K9" s="67" t="str">
        <x:f>'AI Asset Inventory'!AN10</x:f>
        <x:v>Sensitive-data leakage; excessive permissions; prompt injection; RAG poisoning; insecure code; hallucination; cross-user leakage</x:v>
      </x:c>
      <x:c r="L9" s="67" t="str">
        <x:f>'AI Asset Inventory'!AO10</x:f>
        <x:v>SSO; source-system authorization inheritance; DLP; logging; restricted connectors; secure coding review; user training</x:v>
      </x:c>
      <x:c r="M9" s="67" t="str">
        <x:f>'AI Asset Inventory'!AP10</x:f>
        <x:v>Blocked-prompt rate; DLP events; user-reported errors; privileged-source access events</x:v>
      </x:c>
      <x:c r="N9" s="67" t="str">
        <x:f>'AI Asset Inventory'!AQ10</x:f>
        <x:v>Retrieval permission tests; prompt-injection monitoring; usage review</x:v>
      </x:c>
      <x:c r="O9" s="61"/>
      <x:c r="P9" s="61"/>
      <x:c r="Q9" s="61"/>
      <x:c r="R9" s="61"/>
      <x:c r="S9" s="61"/>
      <x:c r="T9" s="61"/>
      <x:c r="U9" s="61"/>
      <x:c r="V9" s="61"/>
      <x:c r="W9" s="61"/>
      <x:c r="X9" s="61"/>
      <x:c r="Y9" s="61"/>
      <x:c r="Z9" s="61"/>
    </x:row>
    <x:row r="10">
      <x:c r="A10" s="67" t="str">
        <x:f>'AI Asset Inventory'!A11</x:f>
        <x:v>AI-007</x:v>
      </x:c>
      <x:c r="B10" s="67" t="str">
        <x:f>'AI Asset Inventory'!B11</x:f>
        <x:v>Unregistered GenAI Usage</x:v>
      </x:c>
      <x:c r="C10" s="67" t="str">
        <x:f>'AI Asset Inventory'!AF11</x:f>
        <x:v>Critical</x:v>
      </x:c>
      <x:c r="D10" s="67" t="str">
        <x:f>'AI Asset Inventory'!AG11</x:f>
        <x:v>Critical (20)</x:v>
      </x:c>
      <x:c r="E10" s="67" t="str">
        <x:f>'AI Asset Inventory'!AH11</x:f>
        <x:v>Weak</x:v>
      </x:c>
      <x:c r="F10" s="67" t="str">
        <x:f>'AI Asset Inventory'!AI11</x:f>
        <x:v>Critical (20)</x:v>
      </x:c>
      <x:c r="G10" s="67" t="str">
        <x:f>'AI Asset Inventory'!AJ11</x:f>
        <x:v>Refresh Required</x:v>
      </x:c>
      <x:c r="H10" s="67" t="str">
        <x:f>'AI Asset Inventory'!AK11</x:f>
        <x:v>Not Started</x:v>
      </x:c>
      <x:c r="I10" s="67" t="str">
        <x:f>'AI Asset Inventory'!AL11</x:f>
        <x:v>Not Applicable</x:v>
      </x:c>
      <x:c r="J10" s="67" t="str">
        <x:f>'AI Asset Inventory'!AM11</x:f>
        <x:v>Immediate containment</x:v>
      </x:c>
      <x:c r="K10" s="67" t="str">
        <x:f>'AI Asset Inventory'!AN11</x:f>
        <x:v>Confidentiality/IP leakage; personal-data exposure; unknown retention; unapproved vendors; no logging; weak incident response</x:v>
      </x:c>
      <x:c r="L10" s="67" t="str">
        <x:f>'AI Asset Inventory'!AO11</x:f>
        <x:v>AI acceptable-use standard; approved-tool catalogue; DLP; awareness training; discovery controls; exception process</x:v>
      </x:c>
      <x:c r="M10" s="67" t="str">
        <x:f>'AI Asset Inventory'!AP11</x:f>
        <x:v>Unapproved-tool detections; DLP events; exception requests; training completion</x:v>
      </x:c>
      <x:c r="N10" s="67" t="str">
        <x:f>'AI Asset Inventory'!AQ11</x:f>
        <x:v>CASB/SSE discovery where available; periodic employee attestation</x:v>
      </x:c>
      <x:c r="O10" s="61"/>
      <x:c r="P10" s="61"/>
      <x:c r="Q10" s="61"/>
      <x:c r="R10" s="61"/>
      <x:c r="S10" s="61"/>
      <x:c r="T10" s="61"/>
      <x:c r="U10" s="61"/>
      <x:c r="V10" s="61"/>
      <x:c r="W10" s="61"/>
      <x:c r="X10" s="61"/>
      <x:c r="Y10" s="61"/>
      <x:c r="Z10" s="61"/>
    </x:row>
    <x:row r="11">
      <x:c r="A11" s="61"/>
      <x:c r="B11" s="61"/>
      <x:c r="C11" s="61"/>
      <x:c r="D11" s="61"/>
      <x:c r="E11" s="61"/>
      <x:c r="F11" s="61"/>
      <x:c r="G11" s="61"/>
      <x:c r="H11" s="61"/>
      <x:c r="I11" s="61"/>
      <x:c r="J11" s="61"/>
      <x:c r="K11" s="61"/>
      <x:c r="L11" s="61"/>
      <x:c r="M11" s="61"/>
      <x:c r="N11" s="61"/>
      <x:c r="O11" s="61"/>
      <x:c r="P11" s="61"/>
      <x:c r="Q11" s="61"/>
      <x:c r="R11" s="61"/>
      <x:c r="S11" s="61"/>
      <x:c r="T11" s="61"/>
      <x:c r="U11" s="61"/>
      <x:c r="V11" s="61"/>
      <x:c r="W11" s="61"/>
      <x:c r="X11" s="61"/>
      <x:c r="Y11" s="61"/>
      <x:c r="Z11" s="61"/>
    </x:row>
    <x:row r="12">
      <x:c r="A12" s="61"/>
      <x:c r="B12" s="61"/>
      <x:c r="C12" s="61"/>
      <x:c r="D12" s="61"/>
      <x:c r="E12" s="61"/>
      <x:c r="F12" s="61"/>
      <x:c r="G12" s="61"/>
      <x:c r="H12" s="61"/>
      <x:c r="I12" s="61"/>
      <x:c r="J12" s="61"/>
      <x:c r="K12" s="61"/>
      <x:c r="L12" s="61"/>
      <x:c r="M12" s="61"/>
      <x:c r="N12" s="61"/>
      <x:c r="O12" s="61"/>
      <x:c r="P12" s="61"/>
      <x:c r="Q12" s="61"/>
      <x:c r="R12" s="61"/>
      <x:c r="S12" s="61"/>
      <x:c r="T12" s="61"/>
      <x:c r="U12" s="61"/>
      <x:c r="V12" s="61"/>
      <x:c r="W12" s="61"/>
      <x:c r="X12" s="61"/>
      <x:c r="Y12" s="61"/>
      <x:c r="Z12" s="61"/>
    </x:row>
    <x:row r="13">
      <x:c r="A13" s="61"/>
      <x:c r="B13" s="61"/>
      <x:c r="C13" s="61"/>
      <x:c r="D13" s="61"/>
      <x:c r="E13" s="61"/>
      <x:c r="F13" s="61"/>
      <x:c r="G13" s="61"/>
      <x:c r="H13" s="61"/>
      <x:c r="I13" s="61"/>
      <x:c r="J13" s="61"/>
      <x:c r="K13" s="61"/>
      <x:c r="L13" s="61"/>
      <x:c r="M13" s="61"/>
      <x:c r="N13" s="61"/>
      <x:c r="O13" s="61"/>
      <x:c r="P13" s="61"/>
      <x:c r="Q13" s="61"/>
      <x:c r="R13" s="61"/>
      <x:c r="S13" s="61"/>
      <x:c r="T13" s="61"/>
      <x:c r="U13" s="61"/>
      <x:c r="V13" s="61"/>
      <x:c r="W13" s="61"/>
      <x:c r="X13" s="61"/>
      <x:c r="Y13" s="61"/>
      <x:c r="Z13" s="61"/>
    </x:row>
    <x:row r="14">
      <x:c r="A14" s="61"/>
      <x:c r="B14" s="61"/>
      <x:c r="C14" s="61"/>
      <x:c r="D14" s="61"/>
      <x:c r="E14" s="61"/>
      <x:c r="F14" s="61"/>
      <x:c r="G14" s="61"/>
      <x:c r="H14" s="61"/>
      <x:c r="I14" s="61"/>
      <x:c r="J14" s="61"/>
      <x:c r="K14" s="61"/>
      <x:c r="L14" s="61"/>
      <x:c r="M14" s="61"/>
      <x:c r="N14" s="61"/>
      <x:c r="O14" s="61"/>
      <x:c r="P14" s="61"/>
      <x:c r="Q14" s="61"/>
      <x:c r="R14" s="61"/>
      <x:c r="S14" s="61"/>
      <x:c r="T14" s="61"/>
      <x:c r="U14" s="61"/>
      <x:c r="V14" s="61"/>
      <x:c r="W14" s="61"/>
      <x:c r="X14" s="61"/>
      <x:c r="Y14" s="61"/>
      <x:c r="Z14" s="61"/>
    </x:row>
    <x:row r="15">
      <x:c r="A15" s="61"/>
      <x:c r="B15" s="61"/>
      <x:c r="C15" s="61"/>
      <x:c r="D15" s="61"/>
      <x:c r="E15" s="61"/>
      <x:c r="F15" s="61"/>
      <x:c r="G15" s="61"/>
      <x:c r="H15" s="61"/>
      <x:c r="I15" s="61"/>
      <x:c r="J15" s="61"/>
      <x:c r="K15" s="61"/>
      <x:c r="L15" s="61"/>
      <x:c r="M15" s="61"/>
      <x:c r="N15" s="61"/>
      <x:c r="O15" s="61"/>
      <x:c r="P15" s="61"/>
      <x:c r="Q15" s="61"/>
      <x:c r="R15" s="61"/>
      <x:c r="S15" s="61"/>
      <x:c r="T15" s="61"/>
      <x:c r="U15" s="61"/>
      <x:c r="V15" s="61"/>
      <x:c r="W15" s="61"/>
      <x:c r="X15" s="61"/>
      <x:c r="Y15" s="61"/>
      <x:c r="Z15" s="61"/>
    </x:row>
    <x:row r="16">
      <x:c r="A16" s="61"/>
      <x:c r="B16" s="61"/>
      <x:c r="C16" s="61"/>
      <x:c r="D16" s="61"/>
      <x:c r="E16" s="61"/>
      <x:c r="F16" s="61"/>
      <x:c r="G16" s="61"/>
      <x:c r="H16" s="61"/>
      <x:c r="I16" s="61"/>
      <x:c r="J16" s="61"/>
      <x:c r="K16" s="61"/>
      <x:c r="L16" s="61"/>
      <x:c r="M16" s="61"/>
      <x:c r="N16" s="61"/>
      <x:c r="O16" s="61"/>
      <x:c r="P16" s="61"/>
      <x:c r="Q16" s="61"/>
      <x:c r="R16" s="61"/>
      <x:c r="S16" s="61"/>
      <x:c r="T16" s="61"/>
      <x:c r="U16" s="61"/>
      <x:c r="V16" s="61"/>
      <x:c r="W16" s="61"/>
      <x:c r="X16" s="61"/>
      <x:c r="Y16" s="61"/>
      <x:c r="Z16" s="61"/>
    </x:row>
    <x:row r="17">
      <x:c r="A17" s="61"/>
      <x:c r="B17" s="61"/>
      <x:c r="C17" s="61"/>
      <x:c r="D17" s="61"/>
      <x:c r="E17" s="61"/>
      <x:c r="F17" s="61"/>
      <x:c r="G17" s="61"/>
      <x:c r="H17" s="61"/>
      <x:c r="I17" s="61"/>
      <x:c r="J17" s="61"/>
      <x:c r="K17" s="61"/>
      <x:c r="L17" s="61"/>
      <x:c r="M17" s="61"/>
      <x:c r="N17" s="61"/>
      <x:c r="O17" s="61"/>
      <x:c r="P17" s="61"/>
      <x:c r="Q17" s="61"/>
      <x:c r="R17" s="61"/>
      <x:c r="S17" s="61"/>
      <x:c r="T17" s="61"/>
      <x:c r="U17" s="61"/>
      <x:c r="V17" s="61"/>
      <x:c r="W17" s="61"/>
      <x:c r="X17" s="61"/>
      <x:c r="Y17" s="61"/>
      <x:c r="Z17" s="61"/>
    </x:row>
    <x:row r="18">
      <x:c r="A18" s="61"/>
      <x:c r="B18" s="61"/>
      <x:c r="C18" s="61"/>
      <x:c r="D18" s="61"/>
      <x:c r="E18" s="61"/>
      <x:c r="F18" s="61"/>
      <x:c r="G18" s="61"/>
      <x:c r="H18" s="61"/>
      <x:c r="I18" s="61"/>
      <x:c r="J18" s="61"/>
      <x:c r="K18" s="61"/>
      <x:c r="L18" s="61"/>
      <x:c r="M18" s="61"/>
      <x:c r="N18" s="61"/>
      <x:c r="O18" s="61"/>
      <x:c r="P18" s="61"/>
      <x:c r="Q18" s="61"/>
      <x:c r="R18" s="61"/>
      <x:c r="S18" s="61"/>
      <x:c r="T18" s="61"/>
      <x:c r="U18" s="61"/>
      <x:c r="V18" s="61"/>
      <x:c r="W18" s="61"/>
      <x:c r="X18" s="61"/>
      <x:c r="Y18" s="61"/>
      <x:c r="Z18" s="61"/>
    </x:row>
    <x:row r="19">
      <x:c r="A19" s="61"/>
      <x:c r="B19" s="61"/>
      <x:c r="C19" s="61"/>
      <x:c r="D19" s="61"/>
      <x:c r="E19" s="61"/>
      <x:c r="F19" s="61"/>
      <x:c r="G19" s="61"/>
      <x:c r="H19" s="61"/>
      <x:c r="I19" s="61"/>
      <x:c r="J19" s="61"/>
      <x:c r="K19" s="61"/>
      <x:c r="L19" s="61"/>
      <x:c r="M19" s="61"/>
      <x:c r="N19" s="61"/>
      <x:c r="O19" s="61"/>
      <x:c r="P19" s="61"/>
      <x:c r="Q19" s="61"/>
      <x:c r="R19" s="61"/>
      <x:c r="S19" s="61"/>
      <x:c r="T19" s="61"/>
      <x:c r="U19" s="61"/>
      <x:c r="V19" s="61"/>
      <x:c r="W19" s="61"/>
      <x:c r="X19" s="61"/>
      <x:c r="Y19" s="61"/>
      <x:c r="Z19" s="61"/>
    </x:row>
    <x:row r="20">
      <x:c r="A20" s="61"/>
      <x:c r="B20" s="61"/>
      <x:c r="C20" s="61"/>
      <x:c r="D20" s="61"/>
      <x:c r="E20" s="61"/>
      <x:c r="F20" s="61"/>
      <x:c r="G20" s="61"/>
      <x:c r="H20" s="61"/>
      <x:c r="I20" s="61"/>
      <x:c r="J20" s="61"/>
      <x:c r="K20" s="61"/>
      <x:c r="L20" s="61"/>
      <x:c r="M20" s="61"/>
      <x:c r="N20" s="61"/>
      <x:c r="O20" s="61"/>
      <x:c r="P20" s="61"/>
      <x:c r="Q20" s="61"/>
      <x:c r="R20" s="61"/>
      <x:c r="S20" s="61"/>
      <x:c r="T20" s="61"/>
      <x:c r="U20" s="61"/>
      <x:c r="V20" s="61"/>
      <x:c r="W20" s="61"/>
      <x:c r="X20" s="61"/>
      <x:c r="Y20" s="61"/>
      <x:c r="Z20" s="61"/>
    </x:row>
    <x:row r="21">
      <x:c r="A21" s="61"/>
      <x:c r="B21" s="61"/>
      <x:c r="C21" s="61"/>
      <x:c r="D21" s="61"/>
      <x:c r="E21" s="61"/>
      <x:c r="F21" s="61"/>
      <x:c r="G21" s="61"/>
      <x:c r="H21" s="61"/>
      <x:c r="I21" s="61"/>
      <x:c r="J21" s="61"/>
      <x:c r="K21" s="61"/>
      <x:c r="L21" s="61"/>
      <x:c r="M21" s="61"/>
      <x:c r="N21" s="61"/>
      <x:c r="O21" s="61"/>
      <x:c r="P21" s="61"/>
      <x:c r="Q21" s="61"/>
      <x:c r="R21" s="61"/>
      <x:c r="S21" s="61"/>
      <x:c r="T21" s="61"/>
      <x:c r="U21" s="61"/>
      <x:c r="V21" s="61"/>
      <x:c r="W21" s="61"/>
      <x:c r="X21" s="61"/>
      <x:c r="Y21" s="61"/>
      <x:c r="Z21" s="61"/>
    </x:row>
    <x:row r="22">
      <x:c r="A22" s="61"/>
      <x:c r="B22" s="61"/>
      <x:c r="C22" s="61"/>
      <x:c r="D22" s="61"/>
      <x:c r="E22" s="61"/>
      <x:c r="F22" s="61"/>
      <x:c r="G22" s="61"/>
      <x:c r="H22" s="61"/>
      <x:c r="I22" s="61"/>
      <x:c r="J22" s="61"/>
      <x:c r="K22" s="61"/>
      <x:c r="L22" s="61"/>
      <x:c r="M22" s="61"/>
      <x:c r="N22" s="61"/>
      <x:c r="O22" s="61"/>
      <x:c r="P22" s="61"/>
      <x:c r="Q22" s="61"/>
      <x:c r="R22" s="61"/>
      <x:c r="S22" s="61"/>
      <x:c r="T22" s="61"/>
      <x:c r="U22" s="61"/>
      <x:c r="V22" s="61"/>
      <x:c r="W22" s="61"/>
      <x:c r="X22" s="61"/>
      <x:c r="Y22" s="61"/>
      <x:c r="Z22" s="61"/>
    </x:row>
    <x:row r="23">
      <x:c r="A23" s="61"/>
      <x:c r="B23" s="61"/>
      <x:c r="C23" s="61"/>
      <x:c r="D23" s="61"/>
      <x:c r="E23" s="61"/>
      <x:c r="F23" s="61"/>
      <x:c r="G23" s="61"/>
      <x:c r="H23" s="61"/>
      <x:c r="I23" s="61"/>
      <x:c r="J23" s="61"/>
      <x:c r="K23" s="61"/>
      <x:c r="L23" s="61"/>
      <x:c r="M23" s="61"/>
      <x:c r="N23" s="61"/>
      <x:c r="O23" s="61"/>
      <x:c r="P23" s="61"/>
      <x:c r="Q23" s="61"/>
      <x:c r="R23" s="61"/>
      <x:c r="S23" s="61"/>
      <x:c r="T23" s="61"/>
      <x:c r="U23" s="61"/>
      <x:c r="V23" s="61"/>
      <x:c r="W23" s="61"/>
      <x:c r="X23" s="61"/>
      <x:c r="Y23" s="61"/>
      <x:c r="Z23" s="61"/>
    </x:row>
    <x:row r="24">
      <x:c r="A24" s="61"/>
      <x:c r="B24" s="61"/>
      <x:c r="C24" s="61"/>
      <x:c r="D24" s="61"/>
      <x:c r="E24" s="61"/>
      <x:c r="F24" s="61"/>
      <x:c r="G24" s="61"/>
      <x:c r="H24" s="61"/>
      <x:c r="I24" s="61"/>
      <x:c r="J24" s="61"/>
      <x:c r="K24" s="61"/>
      <x:c r="L24" s="61"/>
      <x:c r="M24" s="61"/>
      <x:c r="N24" s="61"/>
      <x:c r="O24" s="61"/>
      <x:c r="P24" s="61"/>
      <x:c r="Q24" s="61"/>
      <x:c r="R24" s="61"/>
      <x:c r="S24" s="61"/>
      <x:c r="T24" s="61"/>
      <x:c r="U24" s="61"/>
      <x:c r="V24" s="61"/>
      <x:c r="W24" s="61"/>
      <x:c r="X24" s="61"/>
      <x:c r="Y24" s="61"/>
      <x:c r="Z24" s="61"/>
    </x:row>
    <x:row r="25">
      <x:c r="A25" s="61"/>
      <x:c r="B25" s="61"/>
      <x:c r="C25" s="61"/>
      <x:c r="D25" s="61"/>
      <x:c r="E25" s="61"/>
      <x:c r="F25" s="61"/>
      <x:c r="G25" s="61"/>
      <x:c r="H25" s="61"/>
      <x:c r="I25" s="61"/>
      <x:c r="J25" s="61"/>
      <x:c r="K25" s="61"/>
      <x:c r="L25" s="61"/>
      <x:c r="M25" s="61"/>
      <x:c r="N25" s="61"/>
      <x:c r="O25" s="61"/>
      <x:c r="P25" s="61"/>
      <x:c r="Q25" s="61"/>
      <x:c r="R25" s="61"/>
      <x:c r="S25" s="61"/>
      <x:c r="T25" s="61"/>
      <x:c r="U25" s="61"/>
      <x:c r="V25" s="61"/>
      <x:c r="W25" s="61"/>
      <x:c r="X25" s="61"/>
      <x:c r="Y25" s="61"/>
      <x:c r="Z25" s="61"/>
    </x:row>
    <x:row r="26">
      <x:c r="A26" s="61"/>
      <x:c r="B26" s="61"/>
      <x:c r="C26" s="61"/>
      <x:c r="D26" s="61"/>
      <x:c r="E26" s="61"/>
      <x:c r="F26" s="61"/>
      <x:c r="G26" s="61"/>
      <x:c r="H26" s="61"/>
      <x:c r="I26" s="61"/>
      <x:c r="J26" s="61"/>
      <x:c r="K26" s="61"/>
      <x:c r="L26" s="61"/>
      <x:c r="M26" s="61"/>
      <x:c r="N26" s="61"/>
      <x:c r="O26" s="61"/>
      <x:c r="P26" s="61"/>
      <x:c r="Q26" s="61"/>
      <x:c r="R26" s="61"/>
      <x:c r="S26" s="61"/>
      <x:c r="T26" s="61"/>
      <x:c r="U26" s="61"/>
      <x:c r="V26" s="61"/>
      <x:c r="W26" s="61"/>
      <x:c r="X26" s="61"/>
      <x:c r="Y26" s="61"/>
      <x:c r="Z26" s="61"/>
    </x:row>
    <x:row r="27">
      <x:c r="A27" s="61"/>
      <x:c r="B27" s="61"/>
      <x:c r="C27" s="61"/>
      <x:c r="D27" s="61"/>
      <x:c r="E27" s="61"/>
      <x:c r="F27" s="61"/>
      <x:c r="G27" s="61"/>
      <x:c r="H27" s="61"/>
      <x:c r="I27" s="61"/>
      <x:c r="J27" s="61"/>
      <x:c r="K27" s="61"/>
      <x:c r="L27" s="61"/>
      <x:c r="M27" s="61"/>
      <x:c r="N27" s="61"/>
      <x:c r="O27" s="61"/>
      <x:c r="P27" s="61"/>
      <x:c r="Q27" s="61"/>
      <x:c r="R27" s="61"/>
      <x:c r="S27" s="61"/>
      <x:c r="T27" s="61"/>
      <x:c r="U27" s="61"/>
      <x:c r="V27" s="61"/>
      <x:c r="W27" s="61"/>
      <x:c r="X27" s="61"/>
      <x:c r="Y27" s="61"/>
      <x:c r="Z27" s="61"/>
    </x:row>
    <x:row r="28">
      <x:c r="A28" s="61"/>
      <x:c r="B28" s="61"/>
      <x:c r="C28" s="61"/>
      <x:c r="D28" s="61"/>
      <x:c r="E28" s="61"/>
      <x:c r="F28" s="61"/>
      <x:c r="G28" s="61"/>
      <x:c r="H28" s="61"/>
      <x:c r="I28" s="61"/>
      <x:c r="J28" s="61"/>
      <x:c r="K28" s="61"/>
      <x:c r="L28" s="61"/>
      <x:c r="M28" s="61"/>
      <x:c r="N28" s="61"/>
      <x:c r="O28" s="61"/>
      <x:c r="P28" s="61"/>
      <x:c r="Q28" s="61"/>
      <x:c r="R28" s="61"/>
      <x:c r="S28" s="61"/>
      <x:c r="T28" s="61"/>
      <x:c r="U28" s="61"/>
      <x:c r="V28" s="61"/>
      <x:c r="W28" s="61"/>
      <x:c r="X28" s="61"/>
      <x:c r="Y28" s="61"/>
      <x:c r="Z28" s="61"/>
    </x:row>
    <x:row r="29">
      <x:c r="A29" s="61"/>
      <x:c r="B29" s="61"/>
      <x:c r="C29" s="61"/>
      <x:c r="D29" s="61"/>
      <x:c r="E29" s="61"/>
      <x:c r="F29" s="61"/>
      <x:c r="G29" s="61"/>
      <x:c r="H29" s="61"/>
      <x:c r="I29" s="61"/>
      <x:c r="J29" s="61"/>
      <x:c r="K29" s="61"/>
      <x:c r="L29" s="61"/>
      <x:c r="M29" s="61"/>
      <x:c r="N29" s="61"/>
      <x:c r="O29" s="61"/>
      <x:c r="P29" s="61"/>
      <x:c r="Q29" s="61"/>
      <x:c r="R29" s="61"/>
      <x:c r="S29" s="61"/>
      <x:c r="T29" s="61"/>
      <x:c r="U29" s="61"/>
      <x:c r="V29" s="61"/>
      <x:c r="W29" s="61"/>
      <x:c r="X29" s="61"/>
      <x:c r="Y29" s="61"/>
      <x:c r="Z29" s="61"/>
    </x:row>
    <x:row r="30">
      <x:c r="A30" s="61"/>
      <x:c r="B30" s="61"/>
      <x:c r="C30" s="61"/>
      <x:c r="D30" s="61"/>
      <x:c r="E30" s="61"/>
      <x:c r="F30" s="61"/>
      <x:c r="G30" s="61"/>
      <x:c r="H30" s="61"/>
      <x:c r="I30" s="61"/>
      <x:c r="J30" s="61"/>
      <x:c r="K30" s="61"/>
      <x:c r="L30" s="61"/>
      <x:c r="M30" s="61"/>
      <x:c r="N30" s="61"/>
      <x:c r="O30" s="61"/>
      <x:c r="P30" s="61"/>
      <x:c r="Q30" s="61"/>
      <x:c r="R30" s="61"/>
      <x:c r="S30" s="61"/>
      <x:c r="T30" s="61"/>
      <x:c r="U30" s="61"/>
      <x:c r="V30" s="61"/>
      <x:c r="W30" s="61"/>
      <x:c r="X30" s="61"/>
      <x:c r="Y30" s="61"/>
      <x:c r="Z30" s="61"/>
    </x:row>
    <x:row r="31">
      <x:c r="A31" s="61"/>
      <x:c r="B31" s="61"/>
      <x:c r="C31" s="61"/>
      <x:c r="D31" s="61"/>
      <x:c r="E31" s="61"/>
      <x:c r="F31" s="61"/>
      <x:c r="G31" s="61"/>
      <x:c r="H31" s="61"/>
      <x:c r="I31" s="61"/>
      <x:c r="J31" s="61"/>
      <x:c r="K31" s="61"/>
      <x:c r="L31" s="61"/>
      <x:c r="M31" s="61"/>
      <x:c r="N31" s="61"/>
      <x:c r="O31" s="61"/>
      <x:c r="P31" s="61"/>
      <x:c r="Q31" s="61"/>
      <x:c r="R31" s="61"/>
      <x:c r="S31" s="61"/>
      <x:c r="T31" s="61"/>
      <x:c r="U31" s="61"/>
      <x:c r="V31" s="61"/>
      <x:c r="W31" s="61"/>
      <x:c r="X31" s="61"/>
      <x:c r="Y31" s="61"/>
      <x:c r="Z31" s="61"/>
    </x:row>
    <x:row r="32">
      <x:c r="A32" s="61"/>
      <x:c r="B32" s="61"/>
      <x:c r="C32" s="61"/>
      <x:c r="D32" s="61"/>
      <x:c r="E32" s="61"/>
      <x:c r="F32" s="61"/>
      <x:c r="G32" s="61"/>
      <x:c r="H32" s="61"/>
      <x:c r="I32" s="61"/>
      <x:c r="J32" s="61"/>
      <x:c r="K32" s="61"/>
      <x:c r="L32" s="61"/>
      <x:c r="M32" s="61"/>
      <x:c r="N32" s="61"/>
      <x:c r="O32" s="61"/>
      <x:c r="P32" s="61"/>
      <x:c r="Q32" s="61"/>
      <x:c r="R32" s="61"/>
      <x:c r="S32" s="61"/>
      <x:c r="T32" s="61"/>
      <x:c r="U32" s="61"/>
      <x:c r="V32" s="61"/>
      <x:c r="W32" s="61"/>
      <x:c r="X32" s="61"/>
      <x:c r="Y32" s="61"/>
      <x:c r="Z32" s="61"/>
    </x:row>
    <x:row r="33">
      <x:c r="A33" s="61"/>
      <x:c r="B33" s="61"/>
      <x:c r="C33" s="61"/>
      <x:c r="D33" s="61"/>
      <x:c r="E33" s="61"/>
      <x:c r="F33" s="61"/>
      <x:c r="G33" s="61"/>
      <x:c r="H33" s="61"/>
      <x:c r="I33" s="61"/>
      <x:c r="J33" s="61"/>
      <x:c r="K33" s="61"/>
      <x:c r="L33" s="61"/>
      <x:c r="M33" s="61"/>
      <x:c r="N33" s="61"/>
      <x:c r="O33" s="61"/>
      <x:c r="P33" s="61"/>
      <x:c r="Q33" s="61"/>
      <x:c r="R33" s="61"/>
      <x:c r="S33" s="61"/>
      <x:c r="T33" s="61"/>
      <x:c r="U33" s="61"/>
      <x:c r="V33" s="61"/>
      <x:c r="W33" s="61"/>
      <x:c r="X33" s="61"/>
      <x:c r="Y33" s="61"/>
      <x:c r="Z33" s="61"/>
    </x:row>
    <x:row r="34">
      <x:c r="A34" s="61"/>
      <x:c r="B34" s="61"/>
      <x:c r="C34" s="61"/>
      <x:c r="D34" s="61"/>
      <x:c r="E34" s="61"/>
      <x:c r="F34" s="61"/>
      <x:c r="G34" s="61"/>
      <x:c r="H34" s="61"/>
      <x:c r="I34" s="61"/>
      <x:c r="J34" s="61"/>
      <x:c r="K34" s="61"/>
      <x:c r="L34" s="61"/>
      <x:c r="M34" s="61"/>
      <x:c r="N34" s="61"/>
      <x:c r="O34" s="61"/>
      <x:c r="P34" s="61"/>
      <x:c r="Q34" s="61"/>
      <x:c r="R34" s="61"/>
      <x:c r="S34" s="61"/>
      <x:c r="T34" s="61"/>
      <x:c r="U34" s="61"/>
      <x:c r="V34" s="61"/>
      <x:c r="W34" s="61"/>
      <x:c r="X34" s="61"/>
      <x:c r="Y34" s="61"/>
      <x:c r="Z34" s="61"/>
    </x:row>
    <x:row r="35">
      <x:c r="A35" s="61"/>
      <x:c r="B35" s="61"/>
      <x:c r="C35" s="61"/>
      <x:c r="D35" s="61"/>
      <x:c r="E35" s="61"/>
      <x:c r="F35" s="61"/>
      <x:c r="G35" s="61"/>
      <x:c r="H35" s="61"/>
      <x:c r="I35" s="61"/>
      <x:c r="J35" s="61"/>
      <x:c r="K35" s="61"/>
      <x:c r="L35" s="61"/>
      <x:c r="M35" s="61"/>
      <x:c r="N35" s="61"/>
      <x:c r="O35" s="61"/>
      <x:c r="P35" s="61"/>
      <x:c r="Q35" s="61"/>
      <x:c r="R35" s="61"/>
      <x:c r="S35" s="61"/>
      <x:c r="T35" s="61"/>
      <x:c r="U35" s="61"/>
      <x:c r="V35" s="61"/>
      <x:c r="W35" s="61"/>
      <x:c r="X35" s="61"/>
      <x:c r="Y35" s="61"/>
      <x:c r="Z35" s="61"/>
    </x:row>
    <x:row r="36">
      <x:c r="A36" s="61"/>
      <x:c r="B36" s="61"/>
      <x:c r="C36" s="61"/>
      <x:c r="D36" s="61"/>
      <x:c r="E36" s="61"/>
      <x:c r="F36" s="61"/>
      <x:c r="G36" s="61"/>
      <x:c r="H36" s="61"/>
      <x:c r="I36" s="61"/>
      <x:c r="J36" s="61"/>
      <x:c r="K36" s="61"/>
      <x:c r="L36" s="61"/>
      <x:c r="M36" s="61"/>
      <x:c r="N36" s="61"/>
      <x:c r="O36" s="61"/>
      <x:c r="P36" s="61"/>
      <x:c r="Q36" s="61"/>
      <x:c r="R36" s="61"/>
      <x:c r="S36" s="61"/>
      <x:c r="T36" s="61"/>
      <x:c r="U36" s="61"/>
      <x:c r="V36" s="61"/>
      <x:c r="W36" s="61"/>
      <x:c r="X36" s="61"/>
      <x:c r="Y36" s="61"/>
      <x:c r="Z36" s="61"/>
    </x:row>
    <x:row r="37">
      <x:c r="A37" s="61"/>
      <x:c r="B37" s="61"/>
      <x:c r="C37" s="61"/>
      <x:c r="D37" s="61"/>
      <x:c r="E37" s="61"/>
      <x:c r="F37" s="61"/>
      <x:c r="G37" s="61"/>
      <x:c r="H37" s="61"/>
      <x:c r="I37" s="61"/>
      <x:c r="J37" s="61"/>
      <x:c r="K37" s="61"/>
      <x:c r="L37" s="61"/>
      <x:c r="M37" s="61"/>
      <x:c r="N37" s="61"/>
      <x:c r="O37" s="61"/>
      <x:c r="P37" s="61"/>
      <x:c r="Q37" s="61"/>
      <x:c r="R37" s="61"/>
      <x:c r="S37" s="61"/>
      <x:c r="T37" s="61"/>
      <x:c r="U37" s="61"/>
      <x:c r="V37" s="61"/>
      <x:c r="W37" s="61"/>
      <x:c r="X37" s="61"/>
      <x:c r="Y37" s="61"/>
      <x:c r="Z37" s="61"/>
    </x:row>
    <x:row r="38">
      <x:c r="A38" s="61"/>
      <x:c r="B38" s="61"/>
      <x:c r="C38" s="61"/>
      <x:c r="D38" s="61"/>
      <x:c r="E38" s="61"/>
      <x:c r="F38" s="61"/>
      <x:c r="G38" s="61"/>
      <x:c r="H38" s="61"/>
      <x:c r="I38" s="61"/>
      <x:c r="J38" s="61"/>
      <x:c r="K38" s="61"/>
      <x:c r="L38" s="61"/>
      <x:c r="M38" s="61"/>
      <x:c r="N38" s="61"/>
      <x:c r="O38" s="61"/>
      <x:c r="P38" s="61"/>
      <x:c r="Q38" s="61"/>
      <x:c r="R38" s="61"/>
      <x:c r="S38" s="61"/>
      <x:c r="T38" s="61"/>
      <x:c r="U38" s="61"/>
      <x:c r="V38" s="61"/>
      <x:c r="W38" s="61"/>
      <x:c r="X38" s="61"/>
      <x:c r="Y38" s="61"/>
      <x:c r="Z38" s="61"/>
    </x:row>
    <x:row r="39">
      <x:c r="A39" s="61"/>
      <x:c r="B39" s="61"/>
      <x:c r="C39" s="61"/>
      <x:c r="D39" s="61"/>
      <x:c r="E39" s="61"/>
      <x:c r="F39" s="61"/>
      <x:c r="G39" s="61"/>
      <x:c r="H39" s="61"/>
      <x:c r="I39" s="61"/>
      <x:c r="J39" s="61"/>
      <x:c r="K39" s="61"/>
      <x:c r="L39" s="61"/>
      <x:c r="M39" s="61"/>
      <x:c r="N39" s="61"/>
      <x:c r="O39" s="61"/>
      <x:c r="P39" s="61"/>
      <x:c r="Q39" s="61"/>
      <x:c r="R39" s="61"/>
      <x:c r="S39" s="61"/>
      <x:c r="T39" s="61"/>
      <x:c r="U39" s="61"/>
      <x:c r="V39" s="61"/>
      <x:c r="W39" s="61"/>
      <x:c r="X39" s="61"/>
      <x:c r="Y39" s="61"/>
      <x:c r="Z39" s="61"/>
    </x:row>
    <x:row r="40">
      <x:c r="A40" s="61"/>
      <x:c r="B40" s="61"/>
      <x:c r="C40" s="61"/>
      <x:c r="D40" s="61"/>
      <x:c r="E40" s="61"/>
      <x:c r="F40" s="61"/>
      <x:c r="G40" s="61"/>
      <x:c r="H40" s="61"/>
      <x:c r="I40" s="61"/>
      <x:c r="J40" s="61"/>
      <x:c r="K40" s="61"/>
      <x:c r="L40" s="61"/>
      <x:c r="M40" s="61"/>
      <x:c r="N40" s="61"/>
      <x:c r="O40" s="61"/>
      <x:c r="P40" s="61"/>
      <x:c r="Q40" s="61"/>
      <x:c r="R40" s="61"/>
      <x:c r="S40" s="61"/>
      <x:c r="T40" s="61"/>
      <x:c r="U40" s="61"/>
      <x:c r="V40" s="61"/>
      <x:c r="W40" s="61"/>
      <x:c r="X40" s="61"/>
      <x:c r="Y40" s="61"/>
      <x:c r="Z40" s="61"/>
    </x:row>
    <x:row r="41">
      <x:c r="A41" s="61"/>
      <x:c r="B41" s="61"/>
      <x:c r="C41" s="61"/>
      <x:c r="D41" s="61"/>
      <x:c r="E41" s="61"/>
      <x:c r="F41" s="61"/>
      <x:c r="G41" s="61"/>
      <x:c r="H41" s="61"/>
      <x:c r="I41" s="61"/>
      <x:c r="J41" s="61"/>
      <x:c r="K41" s="61"/>
      <x:c r="L41" s="61"/>
      <x:c r="M41" s="61"/>
      <x:c r="N41" s="61"/>
      <x:c r="O41" s="61"/>
      <x:c r="P41" s="61"/>
      <x:c r="Q41" s="61"/>
      <x:c r="R41" s="61"/>
      <x:c r="S41" s="61"/>
      <x:c r="T41" s="61"/>
      <x:c r="U41" s="61"/>
      <x:c r="V41" s="61"/>
      <x:c r="W41" s="61"/>
      <x:c r="X41" s="61"/>
      <x:c r="Y41" s="61"/>
      <x:c r="Z41" s="61"/>
    </x:row>
    <x:row r="42">
      <x:c r="A42" s="61"/>
      <x:c r="B42" s="61"/>
      <x:c r="C42" s="61"/>
      <x:c r="D42" s="61"/>
      <x:c r="E42" s="61"/>
      <x:c r="F42" s="61"/>
      <x:c r="G42" s="61"/>
      <x:c r="H42" s="61"/>
      <x:c r="I42" s="61"/>
      <x:c r="J42" s="61"/>
      <x:c r="K42" s="61"/>
      <x:c r="L42" s="61"/>
      <x:c r="M42" s="61"/>
      <x:c r="N42" s="61"/>
      <x:c r="O42" s="61"/>
      <x:c r="P42" s="61"/>
      <x:c r="Q42" s="61"/>
      <x:c r="R42" s="61"/>
      <x:c r="S42" s="61"/>
      <x:c r="T42" s="61"/>
      <x:c r="U42" s="61"/>
      <x:c r="V42" s="61"/>
      <x:c r="W42" s="61"/>
      <x:c r="X42" s="61"/>
      <x:c r="Y42" s="61"/>
      <x:c r="Z42" s="61"/>
    </x:row>
    <x:row r="43">
      <x:c r="A43" s="61"/>
      <x:c r="B43" s="61"/>
      <x:c r="C43" s="61"/>
      <x:c r="D43" s="61"/>
      <x:c r="E43" s="61"/>
      <x:c r="F43" s="61"/>
      <x:c r="G43" s="61"/>
      <x:c r="H43" s="61"/>
      <x:c r="I43" s="61"/>
      <x:c r="J43" s="61"/>
      <x:c r="K43" s="61"/>
      <x:c r="L43" s="61"/>
      <x:c r="M43" s="61"/>
      <x:c r="N43" s="61"/>
      <x:c r="O43" s="61"/>
      <x:c r="P43" s="61"/>
      <x:c r="Q43" s="61"/>
      <x:c r="R43" s="61"/>
      <x:c r="S43" s="61"/>
      <x:c r="T43" s="61"/>
      <x:c r="U43" s="61"/>
      <x:c r="V43" s="61"/>
      <x:c r="W43" s="61"/>
      <x:c r="X43" s="61"/>
      <x:c r="Y43" s="61"/>
      <x:c r="Z43" s="61"/>
    </x:row>
    <x:row r="44">
      <x:c r="A44" s="61"/>
      <x:c r="B44" s="61"/>
      <x:c r="C44" s="61"/>
      <x:c r="D44" s="61"/>
      <x:c r="E44" s="61"/>
      <x:c r="F44" s="61"/>
      <x:c r="G44" s="61"/>
      <x:c r="H44" s="61"/>
      <x:c r="I44" s="61"/>
      <x:c r="J44" s="61"/>
      <x:c r="K44" s="61"/>
      <x:c r="L44" s="61"/>
      <x:c r="M44" s="61"/>
      <x:c r="N44" s="61"/>
      <x:c r="O44" s="61"/>
      <x:c r="P44" s="61"/>
      <x:c r="Q44" s="61"/>
      <x:c r="R44" s="61"/>
      <x:c r="S44" s="61"/>
      <x:c r="T44" s="61"/>
      <x:c r="U44" s="61"/>
      <x:c r="V44" s="61"/>
      <x:c r="W44" s="61"/>
      <x:c r="X44" s="61"/>
      <x:c r="Y44" s="61"/>
      <x:c r="Z44" s="61"/>
    </x:row>
    <x:row r="45">
      <x:c r="A45" s="61"/>
      <x:c r="B45" s="61"/>
      <x:c r="C45" s="61"/>
      <x:c r="D45" s="61"/>
      <x:c r="E45" s="61"/>
      <x:c r="F45" s="61"/>
      <x:c r="G45" s="61"/>
      <x:c r="H45" s="61"/>
      <x:c r="I45" s="61"/>
      <x:c r="J45" s="61"/>
      <x:c r="K45" s="61"/>
      <x:c r="L45" s="61"/>
      <x:c r="M45" s="61"/>
      <x:c r="N45" s="61"/>
      <x:c r="O45" s="61"/>
      <x:c r="P45" s="61"/>
      <x:c r="Q45" s="61"/>
      <x:c r="R45" s="61"/>
      <x:c r="S45" s="61"/>
      <x:c r="T45" s="61"/>
      <x:c r="U45" s="61"/>
      <x:c r="V45" s="61"/>
      <x:c r="W45" s="61"/>
      <x:c r="X45" s="61"/>
      <x:c r="Y45" s="61"/>
      <x:c r="Z45" s="61"/>
    </x:row>
    <x:row r="46">
      <x:c r="A46" s="61"/>
      <x:c r="B46" s="61"/>
      <x:c r="C46" s="61"/>
      <x:c r="D46" s="61"/>
      <x:c r="E46" s="61"/>
      <x:c r="F46" s="61"/>
      <x:c r="G46" s="61"/>
      <x:c r="H46" s="61"/>
      <x:c r="I46" s="61"/>
      <x:c r="J46" s="61"/>
      <x:c r="K46" s="61"/>
      <x:c r="L46" s="61"/>
      <x:c r="M46" s="61"/>
      <x:c r="N46" s="61"/>
      <x:c r="O46" s="61"/>
      <x:c r="P46" s="61"/>
      <x:c r="Q46" s="61"/>
      <x:c r="R46" s="61"/>
      <x:c r="S46" s="61"/>
      <x:c r="T46" s="61"/>
      <x:c r="U46" s="61"/>
      <x:c r="V46" s="61"/>
      <x:c r="W46" s="61"/>
      <x:c r="X46" s="61"/>
      <x:c r="Y46" s="61"/>
      <x:c r="Z46" s="61"/>
    </x:row>
    <x:row r="47">
      <x:c r="A47" s="61"/>
      <x:c r="B47" s="61"/>
      <x:c r="C47" s="61"/>
      <x:c r="D47" s="61"/>
      <x:c r="E47" s="61"/>
      <x:c r="F47" s="61"/>
      <x:c r="G47" s="61"/>
      <x:c r="H47" s="61"/>
      <x:c r="I47" s="61"/>
      <x:c r="J47" s="61"/>
      <x:c r="K47" s="61"/>
      <x:c r="L47" s="61"/>
      <x:c r="M47" s="61"/>
      <x:c r="N47" s="61"/>
      <x:c r="O47" s="61"/>
      <x:c r="P47" s="61"/>
      <x:c r="Q47" s="61"/>
      <x:c r="R47" s="61"/>
      <x:c r="S47" s="61"/>
      <x:c r="T47" s="61"/>
      <x:c r="U47" s="61"/>
      <x:c r="V47" s="61"/>
      <x:c r="W47" s="61"/>
      <x:c r="X47" s="61"/>
      <x:c r="Y47" s="61"/>
      <x:c r="Z47" s="61"/>
    </x:row>
    <x:row r="48">
      <x:c r="A48" s="61"/>
      <x:c r="B48" s="61"/>
      <x:c r="C48" s="61"/>
      <x:c r="D48" s="61"/>
      <x:c r="E48" s="61"/>
      <x:c r="F48" s="61"/>
      <x:c r="G48" s="61"/>
      <x:c r="H48" s="61"/>
      <x:c r="I48" s="61"/>
      <x:c r="J48" s="61"/>
      <x:c r="K48" s="61"/>
      <x:c r="L48" s="61"/>
      <x:c r="M48" s="61"/>
      <x:c r="N48" s="61"/>
      <x:c r="O48" s="61"/>
      <x:c r="P48" s="61"/>
      <x:c r="Q48" s="61"/>
      <x:c r="R48" s="61"/>
      <x:c r="S48" s="61"/>
      <x:c r="T48" s="61"/>
      <x:c r="U48" s="61"/>
      <x:c r="V48" s="61"/>
      <x:c r="W48" s="61"/>
      <x:c r="X48" s="61"/>
      <x:c r="Y48" s="61"/>
      <x:c r="Z48" s="61"/>
    </x:row>
    <x:row r="49">
      <x:c r="A49" s="61"/>
      <x:c r="B49" s="61"/>
      <x:c r="C49" s="61"/>
      <x:c r="D49" s="61"/>
      <x:c r="E49" s="61"/>
      <x:c r="F49" s="61"/>
      <x:c r="G49" s="61"/>
      <x:c r="H49" s="61"/>
      <x:c r="I49" s="61"/>
      <x:c r="J49" s="61"/>
      <x:c r="K49" s="61"/>
      <x:c r="L49" s="61"/>
      <x:c r="M49" s="61"/>
      <x:c r="N49" s="61"/>
      <x:c r="O49" s="61"/>
      <x:c r="P49" s="61"/>
      <x:c r="Q49" s="61"/>
      <x:c r="R49" s="61"/>
      <x:c r="S49" s="61"/>
      <x:c r="T49" s="61"/>
      <x:c r="U49" s="61"/>
      <x:c r="V49" s="61"/>
      <x:c r="W49" s="61"/>
      <x:c r="X49" s="61"/>
      <x:c r="Y49" s="61"/>
      <x:c r="Z49" s="61"/>
    </x:row>
    <x:row r="50">
      <x:c r="A50" s="61"/>
      <x:c r="B50" s="61"/>
      <x:c r="C50" s="61"/>
      <x:c r="D50" s="61"/>
      <x:c r="E50" s="61"/>
      <x:c r="F50" s="61"/>
      <x:c r="G50" s="61"/>
      <x:c r="H50" s="61"/>
      <x:c r="I50" s="61"/>
      <x:c r="J50" s="61"/>
      <x:c r="K50" s="61"/>
      <x:c r="L50" s="61"/>
      <x:c r="M50" s="61"/>
      <x:c r="N50" s="61"/>
      <x:c r="O50" s="61"/>
      <x:c r="P50" s="61"/>
      <x:c r="Q50" s="61"/>
      <x:c r="R50" s="61"/>
      <x:c r="S50" s="61"/>
      <x:c r="T50" s="61"/>
      <x:c r="U50" s="61"/>
      <x:c r="V50" s="61"/>
      <x:c r="W50" s="61"/>
      <x:c r="X50" s="61"/>
      <x:c r="Y50" s="61"/>
      <x:c r="Z50" s="61"/>
    </x:row>
    <x:row r="51">
      <x:c r="A51" s="61"/>
      <x:c r="B51" s="61"/>
      <x:c r="C51" s="61"/>
      <x:c r="D51" s="61"/>
      <x:c r="E51" s="61"/>
      <x:c r="F51" s="61"/>
      <x:c r="G51" s="61"/>
      <x:c r="H51" s="61"/>
      <x:c r="I51" s="61"/>
      <x:c r="J51" s="61"/>
      <x:c r="K51" s="61"/>
      <x:c r="L51" s="61"/>
      <x:c r="M51" s="61"/>
      <x:c r="N51" s="61"/>
      <x:c r="O51" s="61"/>
      <x:c r="P51" s="61"/>
      <x:c r="Q51" s="61"/>
      <x:c r="R51" s="61"/>
      <x:c r="S51" s="61"/>
      <x:c r="T51" s="61"/>
      <x:c r="U51" s="61"/>
      <x:c r="V51" s="61"/>
      <x:c r="W51" s="61"/>
      <x:c r="X51" s="61"/>
      <x:c r="Y51" s="61"/>
      <x:c r="Z51" s="61"/>
    </x:row>
    <x:row r="52">
      <x:c r="A52" s="61"/>
      <x:c r="B52" s="61"/>
      <x:c r="C52" s="61"/>
      <x:c r="D52" s="61"/>
      <x:c r="E52" s="61"/>
      <x:c r="F52" s="61"/>
      <x:c r="G52" s="61"/>
      <x:c r="H52" s="61"/>
      <x:c r="I52" s="61"/>
      <x:c r="J52" s="61"/>
      <x:c r="K52" s="61"/>
      <x:c r="L52" s="61"/>
      <x:c r="M52" s="61"/>
      <x:c r="N52" s="61"/>
      <x:c r="O52" s="61"/>
      <x:c r="P52" s="61"/>
      <x:c r="Q52" s="61"/>
      <x:c r="R52" s="61"/>
      <x:c r="S52" s="61"/>
      <x:c r="T52" s="61"/>
      <x:c r="U52" s="61"/>
      <x:c r="V52" s="61"/>
      <x:c r="W52" s="61"/>
      <x:c r="X52" s="61"/>
      <x:c r="Y52" s="61"/>
      <x:c r="Z52" s="61"/>
    </x:row>
    <x:row r="53">
      <x:c r="A53" s="61"/>
      <x:c r="B53" s="61"/>
      <x:c r="C53" s="61"/>
      <x:c r="D53" s="61"/>
      <x:c r="E53" s="61"/>
      <x:c r="F53" s="61"/>
      <x:c r="G53" s="61"/>
      <x:c r="H53" s="61"/>
      <x:c r="I53" s="61"/>
      <x:c r="J53" s="61"/>
      <x:c r="K53" s="61"/>
      <x:c r="L53" s="61"/>
      <x:c r="M53" s="61"/>
      <x:c r="N53" s="61"/>
      <x:c r="O53" s="61"/>
      <x:c r="P53" s="61"/>
      <x:c r="Q53" s="61"/>
      <x:c r="R53" s="61"/>
      <x:c r="S53" s="61"/>
      <x:c r="T53" s="61"/>
      <x:c r="U53" s="61"/>
      <x:c r="V53" s="61"/>
      <x:c r="W53" s="61"/>
      <x:c r="X53" s="61"/>
      <x:c r="Y53" s="61"/>
      <x:c r="Z53" s="61"/>
    </x:row>
    <x:row r="54">
      <x:c r="A54" s="61"/>
      <x:c r="B54" s="61"/>
      <x:c r="C54" s="61"/>
      <x:c r="D54" s="61"/>
      <x:c r="E54" s="61"/>
      <x:c r="F54" s="61"/>
      <x:c r="G54" s="61"/>
      <x:c r="H54" s="61"/>
      <x:c r="I54" s="61"/>
      <x:c r="J54" s="61"/>
      <x:c r="K54" s="61"/>
      <x:c r="L54" s="61"/>
      <x:c r="M54" s="61"/>
      <x:c r="N54" s="61"/>
      <x:c r="O54" s="61"/>
      <x:c r="P54" s="61"/>
      <x:c r="Q54" s="61"/>
      <x:c r="R54" s="61"/>
      <x:c r="S54" s="61"/>
      <x:c r="T54" s="61"/>
      <x:c r="U54" s="61"/>
      <x:c r="V54" s="61"/>
      <x:c r="W54" s="61"/>
      <x:c r="X54" s="61"/>
      <x:c r="Y54" s="61"/>
      <x:c r="Z54" s="61"/>
    </x:row>
    <x:row r="55">
      <x:c r="A55" s="61"/>
      <x:c r="B55" s="61"/>
      <x:c r="C55" s="61"/>
      <x:c r="D55" s="61"/>
      <x:c r="E55" s="61"/>
      <x:c r="F55" s="61"/>
      <x:c r="G55" s="61"/>
      <x:c r="H55" s="61"/>
      <x:c r="I55" s="61"/>
      <x:c r="J55" s="61"/>
      <x:c r="K55" s="61"/>
      <x:c r="L55" s="61"/>
      <x:c r="M55" s="61"/>
      <x:c r="N55" s="61"/>
      <x:c r="O55" s="61"/>
      <x:c r="P55" s="61"/>
      <x:c r="Q55" s="61"/>
      <x:c r="R55" s="61"/>
      <x:c r="S55" s="61"/>
      <x:c r="T55" s="61"/>
      <x:c r="U55" s="61"/>
      <x:c r="V55" s="61"/>
      <x:c r="W55" s="61"/>
      <x:c r="X55" s="61"/>
      <x:c r="Y55" s="61"/>
      <x:c r="Z55" s="61"/>
    </x:row>
    <x:row r="56">
      <x:c r="A56" s="61"/>
      <x:c r="B56" s="61"/>
      <x:c r="C56" s="61"/>
      <x:c r="D56" s="61"/>
      <x:c r="E56" s="61"/>
      <x:c r="F56" s="61"/>
      <x:c r="G56" s="61"/>
      <x:c r="H56" s="61"/>
      <x:c r="I56" s="61"/>
      <x:c r="J56" s="61"/>
      <x:c r="K56" s="61"/>
      <x:c r="L56" s="61"/>
      <x:c r="M56" s="61"/>
      <x:c r="N56" s="61"/>
      <x:c r="O56" s="61"/>
      <x:c r="P56" s="61"/>
      <x:c r="Q56" s="61"/>
      <x:c r="R56" s="61"/>
      <x:c r="S56" s="61"/>
      <x:c r="T56" s="61"/>
      <x:c r="U56" s="61"/>
      <x:c r="V56" s="61"/>
      <x:c r="W56" s="61"/>
      <x:c r="X56" s="61"/>
      <x:c r="Y56" s="61"/>
      <x:c r="Z56" s="61"/>
    </x:row>
    <x:row r="57">
      <x:c r="A57" s="61"/>
      <x:c r="B57" s="61"/>
      <x:c r="C57" s="61"/>
      <x:c r="D57" s="61"/>
      <x:c r="E57" s="61"/>
      <x:c r="F57" s="61"/>
      <x:c r="G57" s="61"/>
      <x:c r="H57" s="61"/>
      <x:c r="I57" s="61"/>
      <x:c r="J57" s="61"/>
      <x:c r="K57" s="61"/>
      <x:c r="L57" s="61"/>
      <x:c r="M57" s="61"/>
      <x:c r="N57" s="61"/>
      <x:c r="O57" s="61"/>
      <x:c r="P57" s="61"/>
      <x:c r="Q57" s="61"/>
      <x:c r="R57" s="61"/>
      <x:c r="S57" s="61"/>
      <x:c r="T57" s="61"/>
      <x:c r="U57" s="61"/>
      <x:c r="V57" s="61"/>
      <x:c r="W57" s="61"/>
      <x:c r="X57" s="61"/>
      <x:c r="Y57" s="61"/>
      <x:c r="Z57" s="61"/>
    </x:row>
    <x:row r="58">
      <x:c r="A58" s="61"/>
      <x:c r="B58" s="61"/>
      <x:c r="C58" s="61"/>
      <x:c r="D58" s="61"/>
      <x:c r="E58" s="61"/>
      <x:c r="F58" s="61"/>
      <x:c r="G58" s="61"/>
      <x:c r="H58" s="61"/>
      <x:c r="I58" s="61"/>
      <x:c r="J58" s="61"/>
      <x:c r="K58" s="61"/>
      <x:c r="L58" s="61"/>
      <x:c r="M58" s="61"/>
      <x:c r="N58" s="61"/>
      <x:c r="O58" s="61"/>
      <x:c r="P58" s="61"/>
      <x:c r="Q58" s="61"/>
      <x:c r="R58" s="61"/>
      <x:c r="S58" s="61"/>
      <x:c r="T58" s="61"/>
      <x:c r="U58" s="61"/>
      <x:c r="V58" s="61"/>
      <x:c r="W58" s="61"/>
      <x:c r="X58" s="61"/>
      <x:c r="Y58" s="61"/>
      <x:c r="Z58" s="61"/>
    </x:row>
    <x:row r="59">
      <x:c r="A59" s="61"/>
      <x:c r="B59" s="61"/>
      <x:c r="C59" s="61"/>
      <x:c r="D59" s="61"/>
      <x:c r="E59" s="61"/>
      <x:c r="F59" s="61"/>
      <x:c r="G59" s="61"/>
      <x:c r="H59" s="61"/>
      <x:c r="I59" s="61"/>
      <x:c r="J59" s="61"/>
      <x:c r="K59" s="61"/>
      <x:c r="L59" s="61"/>
      <x:c r="M59" s="61"/>
      <x:c r="N59" s="61"/>
      <x:c r="O59" s="61"/>
      <x:c r="P59" s="61"/>
      <x:c r="Q59" s="61"/>
      <x:c r="R59" s="61"/>
      <x:c r="S59" s="61"/>
      <x:c r="T59" s="61"/>
      <x:c r="U59" s="61"/>
      <x:c r="V59" s="61"/>
      <x:c r="W59" s="61"/>
      <x:c r="X59" s="61"/>
      <x:c r="Y59" s="61"/>
      <x:c r="Z59" s="61"/>
    </x:row>
    <x:row r="60">
      <x:c r="A60" s="61"/>
      <x:c r="B60" s="61"/>
      <x:c r="C60" s="61"/>
      <x:c r="D60" s="61"/>
      <x:c r="E60" s="61"/>
      <x:c r="F60" s="61"/>
      <x:c r="G60" s="61"/>
      <x:c r="H60" s="61"/>
      <x:c r="I60" s="61"/>
      <x:c r="J60" s="61"/>
      <x:c r="K60" s="61"/>
      <x:c r="L60" s="61"/>
      <x:c r="M60" s="61"/>
      <x:c r="N60" s="61"/>
      <x:c r="O60" s="61"/>
      <x:c r="P60" s="61"/>
      <x:c r="Q60" s="61"/>
      <x:c r="R60" s="61"/>
      <x:c r="S60" s="61"/>
      <x:c r="T60" s="61"/>
      <x:c r="U60" s="61"/>
      <x:c r="V60" s="61"/>
      <x:c r="W60" s="61"/>
      <x:c r="X60" s="61"/>
      <x:c r="Y60" s="61"/>
      <x:c r="Z60" s="61"/>
    </x:row>
    <x:row r="61">
      <x:c r="A61" s="61"/>
      <x:c r="B61" s="61"/>
      <x:c r="C61" s="61"/>
      <x:c r="D61" s="61"/>
      <x:c r="E61" s="61"/>
      <x:c r="F61" s="61"/>
      <x:c r="G61" s="61"/>
      <x:c r="H61" s="61"/>
      <x:c r="I61" s="61"/>
      <x:c r="J61" s="61"/>
      <x:c r="K61" s="61"/>
      <x:c r="L61" s="61"/>
      <x:c r="M61" s="61"/>
      <x:c r="N61" s="61"/>
      <x:c r="O61" s="61"/>
      <x:c r="P61" s="61"/>
      <x:c r="Q61" s="61"/>
      <x:c r="R61" s="61"/>
      <x:c r="S61" s="61"/>
      <x:c r="T61" s="61"/>
      <x:c r="U61" s="61"/>
      <x:c r="V61" s="61"/>
      <x:c r="W61" s="61"/>
      <x:c r="X61" s="61"/>
      <x:c r="Y61" s="61"/>
      <x:c r="Z61" s="61"/>
    </x:row>
    <x:row r="62">
      <x:c r="A62" s="61"/>
      <x:c r="B62" s="61"/>
      <x:c r="C62" s="61"/>
      <x:c r="D62" s="61"/>
      <x:c r="E62" s="61"/>
      <x:c r="F62" s="61"/>
      <x:c r="G62" s="61"/>
      <x:c r="H62" s="61"/>
      <x:c r="I62" s="61"/>
      <x:c r="J62" s="61"/>
      <x:c r="K62" s="61"/>
      <x:c r="L62" s="61"/>
      <x:c r="M62" s="61"/>
      <x:c r="N62" s="61"/>
      <x:c r="O62" s="61"/>
      <x:c r="P62" s="61"/>
      <x:c r="Q62" s="61"/>
      <x:c r="R62" s="61"/>
      <x:c r="S62" s="61"/>
      <x:c r="T62" s="61"/>
      <x:c r="U62" s="61"/>
      <x:c r="V62" s="61"/>
      <x:c r="W62" s="61"/>
      <x:c r="X62" s="61"/>
      <x:c r="Y62" s="61"/>
      <x:c r="Z62" s="61"/>
    </x:row>
    <x:row r="63">
      <x:c r="A63" s="61"/>
      <x:c r="B63" s="61"/>
      <x:c r="C63" s="61"/>
      <x:c r="D63" s="61"/>
      <x:c r="E63" s="61"/>
      <x:c r="F63" s="61"/>
      <x:c r="G63" s="61"/>
      <x:c r="H63" s="61"/>
      <x:c r="I63" s="61"/>
      <x:c r="J63" s="61"/>
      <x:c r="K63" s="61"/>
      <x:c r="L63" s="61"/>
      <x:c r="M63" s="61"/>
      <x:c r="N63" s="61"/>
      <x:c r="O63" s="61"/>
      <x:c r="P63" s="61"/>
      <x:c r="Q63" s="61"/>
      <x:c r="R63" s="61"/>
      <x:c r="S63" s="61"/>
      <x:c r="T63" s="61"/>
      <x:c r="U63" s="61"/>
      <x:c r="V63" s="61"/>
      <x:c r="W63" s="61"/>
      <x:c r="X63" s="61"/>
      <x:c r="Y63" s="61"/>
      <x:c r="Z63" s="61"/>
    </x:row>
    <x:row r="64">
      <x:c r="A64" s="61"/>
      <x:c r="B64" s="61"/>
      <x:c r="C64" s="61"/>
      <x:c r="D64" s="61"/>
      <x:c r="E64" s="61"/>
      <x:c r="F64" s="61"/>
      <x:c r="G64" s="61"/>
      <x:c r="H64" s="61"/>
      <x:c r="I64" s="61"/>
      <x:c r="J64" s="61"/>
      <x:c r="K64" s="61"/>
      <x:c r="L64" s="61"/>
      <x:c r="M64" s="61"/>
      <x:c r="N64" s="61"/>
      <x:c r="O64" s="61"/>
      <x:c r="P64" s="61"/>
      <x:c r="Q64" s="61"/>
      <x:c r="R64" s="61"/>
      <x:c r="S64" s="61"/>
      <x:c r="T64" s="61"/>
      <x:c r="U64" s="61"/>
      <x:c r="V64" s="61"/>
      <x:c r="W64" s="61"/>
      <x:c r="X64" s="61"/>
      <x:c r="Y64" s="61"/>
      <x:c r="Z64" s="61"/>
    </x:row>
    <x:row r="65">
      <x:c r="A65" s="61"/>
      <x:c r="B65" s="61"/>
      <x:c r="C65" s="61"/>
      <x:c r="D65" s="61"/>
      <x:c r="E65" s="61"/>
      <x:c r="F65" s="61"/>
      <x:c r="G65" s="61"/>
      <x:c r="H65" s="61"/>
      <x:c r="I65" s="61"/>
      <x:c r="J65" s="61"/>
      <x:c r="K65" s="61"/>
      <x:c r="L65" s="61"/>
      <x:c r="M65" s="61"/>
      <x:c r="N65" s="61"/>
      <x:c r="O65" s="61"/>
      <x:c r="P65" s="61"/>
      <x:c r="Q65" s="61"/>
      <x:c r="R65" s="61"/>
      <x:c r="S65" s="61"/>
      <x:c r="T65" s="61"/>
      <x:c r="U65" s="61"/>
      <x:c r="V65" s="61"/>
      <x:c r="W65" s="61"/>
      <x:c r="X65" s="61"/>
      <x:c r="Y65" s="61"/>
      <x:c r="Z65" s="61"/>
    </x:row>
    <x:row r="66">
      <x:c r="A66" s="61"/>
      <x:c r="B66" s="61"/>
      <x:c r="C66" s="61"/>
      <x:c r="D66" s="61"/>
      <x:c r="E66" s="61"/>
      <x:c r="F66" s="61"/>
      <x:c r="G66" s="61"/>
      <x:c r="H66" s="61"/>
      <x:c r="I66" s="61"/>
      <x:c r="J66" s="61"/>
      <x:c r="K66" s="61"/>
      <x:c r="L66" s="61"/>
      <x:c r="M66" s="61"/>
      <x:c r="N66" s="61"/>
      <x:c r="O66" s="61"/>
      <x:c r="P66" s="61"/>
      <x:c r="Q66" s="61"/>
      <x:c r="R66" s="61"/>
      <x:c r="S66" s="61"/>
      <x:c r="T66" s="61"/>
      <x:c r="U66" s="61"/>
      <x:c r="V66" s="61"/>
      <x:c r="W66" s="61"/>
      <x:c r="X66" s="61"/>
      <x:c r="Y66" s="61"/>
      <x:c r="Z66" s="61"/>
    </x:row>
    <x:row r="67">
      <x:c r="A67" s="61"/>
      <x:c r="B67" s="61"/>
      <x:c r="C67" s="61"/>
      <x:c r="D67" s="61"/>
      <x:c r="E67" s="61"/>
      <x:c r="F67" s="61"/>
      <x:c r="G67" s="61"/>
      <x:c r="H67" s="61"/>
      <x:c r="I67" s="61"/>
      <x:c r="J67" s="61"/>
      <x:c r="K67" s="61"/>
      <x:c r="L67" s="61"/>
      <x:c r="M67" s="61"/>
      <x:c r="N67" s="61"/>
      <x:c r="O67" s="61"/>
      <x:c r="P67" s="61"/>
      <x:c r="Q67" s="61"/>
      <x:c r="R67" s="61"/>
      <x:c r="S67" s="61"/>
      <x:c r="T67" s="61"/>
      <x:c r="U67" s="61"/>
      <x:c r="V67" s="61"/>
      <x:c r="W67" s="61"/>
      <x:c r="X67" s="61"/>
      <x:c r="Y67" s="61"/>
      <x:c r="Z67" s="61"/>
    </x:row>
    <x:row r="68">
      <x:c r="A68" s="61"/>
      <x:c r="B68" s="61"/>
      <x:c r="C68" s="61"/>
      <x:c r="D68" s="61"/>
      <x:c r="E68" s="61"/>
      <x:c r="F68" s="61"/>
      <x:c r="G68" s="61"/>
      <x:c r="H68" s="61"/>
      <x:c r="I68" s="61"/>
      <x:c r="J68" s="61"/>
      <x:c r="K68" s="61"/>
      <x:c r="L68" s="61"/>
      <x:c r="M68" s="61"/>
      <x:c r="N68" s="61"/>
      <x:c r="O68" s="61"/>
      <x:c r="P68" s="61"/>
      <x:c r="Q68" s="61"/>
      <x:c r="R68" s="61"/>
      <x:c r="S68" s="61"/>
      <x:c r="T68" s="61"/>
      <x:c r="U68" s="61"/>
      <x:c r="V68" s="61"/>
      <x:c r="W68" s="61"/>
      <x:c r="X68" s="61"/>
      <x:c r="Y68" s="61"/>
      <x:c r="Z68" s="61"/>
    </x:row>
    <x:row r="69">
      <x:c r="A69" s="61"/>
      <x:c r="B69" s="61"/>
      <x:c r="C69" s="61"/>
      <x:c r="D69" s="61"/>
      <x:c r="E69" s="61"/>
      <x:c r="F69" s="61"/>
      <x:c r="G69" s="61"/>
      <x:c r="H69" s="61"/>
      <x:c r="I69" s="61"/>
      <x:c r="J69" s="61"/>
      <x:c r="K69" s="61"/>
      <x:c r="L69" s="61"/>
      <x:c r="M69" s="61"/>
      <x:c r="N69" s="61"/>
      <x:c r="O69" s="61"/>
      <x:c r="P69" s="61"/>
      <x:c r="Q69" s="61"/>
      <x:c r="R69" s="61"/>
      <x:c r="S69" s="61"/>
      <x:c r="T69" s="61"/>
      <x:c r="U69" s="61"/>
      <x:c r="V69" s="61"/>
      <x:c r="W69" s="61"/>
      <x:c r="X69" s="61"/>
      <x:c r="Y69" s="61"/>
      <x:c r="Z69" s="61"/>
    </x:row>
    <x:row r="70">
      <x:c r="A70" s="61"/>
      <x:c r="B70" s="61"/>
      <x:c r="C70" s="61"/>
      <x:c r="D70" s="61"/>
      <x:c r="E70" s="61"/>
      <x:c r="F70" s="61"/>
      <x:c r="G70" s="61"/>
      <x:c r="H70" s="61"/>
      <x:c r="I70" s="61"/>
      <x:c r="J70" s="61"/>
      <x:c r="K70" s="61"/>
      <x:c r="L70" s="61"/>
      <x:c r="M70" s="61"/>
      <x:c r="N70" s="61"/>
      <x:c r="O70" s="61"/>
      <x:c r="P70" s="61"/>
      <x:c r="Q70" s="61"/>
      <x:c r="R70" s="61"/>
      <x:c r="S70" s="61"/>
      <x:c r="T70" s="61"/>
      <x:c r="U70" s="61"/>
      <x:c r="V70" s="61"/>
      <x:c r="W70" s="61"/>
      <x:c r="X70" s="61"/>
      <x:c r="Y70" s="61"/>
      <x:c r="Z70" s="61"/>
    </x:row>
    <x:row r="71">
      <x:c r="A71" s="61"/>
      <x:c r="B71" s="61"/>
      <x:c r="C71" s="61"/>
      <x:c r="D71" s="61"/>
      <x:c r="E71" s="61"/>
      <x:c r="F71" s="61"/>
      <x:c r="G71" s="61"/>
      <x:c r="H71" s="61"/>
      <x:c r="I71" s="61"/>
      <x:c r="J71" s="61"/>
      <x:c r="K71" s="61"/>
      <x:c r="L71" s="61"/>
      <x:c r="M71" s="61"/>
      <x:c r="N71" s="61"/>
      <x:c r="O71" s="61"/>
      <x:c r="P71" s="61"/>
      <x:c r="Q71" s="61"/>
      <x:c r="R71" s="61"/>
      <x:c r="S71" s="61"/>
      <x:c r="T71" s="61"/>
      <x:c r="U71" s="61"/>
      <x:c r="V71" s="61"/>
      <x:c r="W71" s="61"/>
      <x:c r="X71" s="61"/>
      <x:c r="Y71" s="61"/>
      <x:c r="Z71" s="61"/>
    </x:row>
    <x:row r="72">
      <x:c r="A72" s="61"/>
      <x:c r="B72" s="61"/>
      <x:c r="C72" s="61"/>
      <x:c r="D72" s="61"/>
      <x:c r="E72" s="61"/>
      <x:c r="F72" s="61"/>
      <x:c r="G72" s="61"/>
      <x:c r="H72" s="61"/>
      <x:c r="I72" s="61"/>
      <x:c r="J72" s="61"/>
      <x:c r="K72" s="61"/>
      <x:c r="L72" s="61"/>
      <x:c r="M72" s="61"/>
      <x:c r="N72" s="61"/>
      <x:c r="O72" s="61"/>
      <x:c r="P72" s="61"/>
      <x:c r="Q72" s="61"/>
      <x:c r="R72" s="61"/>
      <x:c r="S72" s="61"/>
      <x:c r="T72" s="61"/>
      <x:c r="U72" s="61"/>
      <x:c r="V72" s="61"/>
      <x:c r="W72" s="61"/>
      <x:c r="X72" s="61"/>
      <x:c r="Y72" s="61"/>
      <x:c r="Z72" s="61"/>
    </x:row>
    <x:row r="73">
      <x:c r="A73" s="61"/>
      <x:c r="B73" s="61"/>
      <x:c r="C73" s="61"/>
      <x:c r="D73" s="61"/>
      <x:c r="E73" s="61"/>
      <x:c r="F73" s="61"/>
      <x:c r="G73" s="61"/>
      <x:c r="H73" s="61"/>
      <x:c r="I73" s="61"/>
      <x:c r="J73" s="61"/>
      <x:c r="K73" s="61"/>
      <x:c r="L73" s="61"/>
      <x:c r="M73" s="61"/>
      <x:c r="N73" s="61"/>
      <x:c r="O73" s="61"/>
      <x:c r="P73" s="61"/>
      <x:c r="Q73" s="61"/>
      <x:c r="R73" s="61"/>
      <x:c r="S73" s="61"/>
      <x:c r="T73" s="61"/>
      <x:c r="U73" s="61"/>
      <x:c r="V73" s="61"/>
      <x:c r="W73" s="61"/>
      <x:c r="X73" s="61"/>
      <x:c r="Y73" s="61"/>
      <x:c r="Z73" s="61"/>
    </x:row>
    <x:row r="74">
      <x:c r="A74" s="61"/>
      <x:c r="B74" s="61"/>
      <x:c r="C74" s="61"/>
      <x:c r="D74" s="61"/>
      <x:c r="E74" s="61"/>
      <x:c r="F74" s="61"/>
      <x:c r="G74" s="61"/>
      <x:c r="H74" s="61"/>
      <x:c r="I74" s="61"/>
      <x:c r="J74" s="61"/>
      <x:c r="K74" s="61"/>
      <x:c r="L74" s="61"/>
      <x:c r="M74" s="61"/>
      <x:c r="N74" s="61"/>
      <x:c r="O74" s="61"/>
      <x:c r="P74" s="61"/>
      <x:c r="Q74" s="61"/>
      <x:c r="R74" s="61"/>
      <x:c r="S74" s="61"/>
      <x:c r="T74" s="61"/>
      <x:c r="U74" s="61"/>
      <x:c r="V74" s="61"/>
      <x:c r="W74" s="61"/>
      <x:c r="X74" s="61"/>
      <x:c r="Y74" s="61"/>
      <x:c r="Z74" s="61"/>
    </x:row>
    <x:row r="75">
      <x:c r="A75" s="61"/>
      <x:c r="B75" s="61"/>
      <x:c r="C75" s="61"/>
      <x:c r="D75" s="61"/>
      <x:c r="E75" s="61"/>
      <x:c r="F75" s="61"/>
      <x:c r="G75" s="61"/>
      <x:c r="H75" s="61"/>
      <x:c r="I75" s="61"/>
      <x:c r="J75" s="61"/>
      <x:c r="K75" s="61"/>
      <x:c r="L75" s="61"/>
      <x:c r="M75" s="61"/>
      <x:c r="N75" s="61"/>
      <x:c r="O75" s="61"/>
      <x:c r="P75" s="61"/>
      <x:c r="Q75" s="61"/>
      <x:c r="R75" s="61"/>
      <x:c r="S75" s="61"/>
      <x:c r="T75" s="61"/>
      <x:c r="U75" s="61"/>
      <x:c r="V75" s="61"/>
      <x:c r="W75" s="61"/>
      <x:c r="X75" s="61"/>
      <x:c r="Y75" s="61"/>
      <x:c r="Z75" s="61"/>
    </x:row>
    <x:row r="76">
      <x:c r="A76" s="61"/>
      <x:c r="B76" s="61"/>
      <x:c r="C76" s="61"/>
      <x:c r="D76" s="61"/>
      <x:c r="E76" s="61"/>
      <x:c r="F76" s="61"/>
      <x:c r="G76" s="61"/>
      <x:c r="H76" s="61"/>
      <x:c r="I76" s="61"/>
      <x:c r="J76" s="61"/>
      <x:c r="K76" s="61"/>
      <x:c r="L76" s="61"/>
      <x:c r="M76" s="61"/>
      <x:c r="N76" s="61"/>
      <x:c r="O76" s="61"/>
      <x:c r="P76" s="61"/>
      <x:c r="Q76" s="61"/>
      <x:c r="R76" s="61"/>
      <x:c r="S76" s="61"/>
      <x:c r="T76" s="61"/>
      <x:c r="U76" s="61"/>
      <x:c r="V76" s="61"/>
      <x:c r="W76" s="61"/>
      <x:c r="X76" s="61"/>
      <x:c r="Y76" s="61"/>
      <x:c r="Z76" s="61"/>
    </x:row>
    <x:row r="77">
      <x:c r="A77" s="61"/>
      <x:c r="B77" s="61"/>
      <x:c r="C77" s="61"/>
      <x:c r="D77" s="61"/>
      <x:c r="E77" s="61"/>
      <x:c r="F77" s="61"/>
      <x:c r="G77" s="61"/>
      <x:c r="H77" s="61"/>
      <x:c r="I77" s="61"/>
      <x:c r="J77" s="61"/>
      <x:c r="K77" s="61"/>
      <x:c r="L77" s="61"/>
      <x:c r="M77" s="61"/>
      <x:c r="N77" s="61"/>
      <x:c r="O77" s="61"/>
      <x:c r="P77" s="61"/>
      <x:c r="Q77" s="61"/>
      <x:c r="R77" s="61"/>
      <x:c r="S77" s="61"/>
      <x:c r="T77" s="61"/>
      <x:c r="U77" s="61"/>
      <x:c r="V77" s="61"/>
      <x:c r="W77" s="61"/>
      <x:c r="X77" s="61"/>
      <x:c r="Y77" s="61"/>
      <x:c r="Z77" s="61"/>
    </x:row>
    <x:row r="78">
      <x:c r="A78" s="61"/>
      <x:c r="B78" s="61"/>
      <x:c r="C78" s="61"/>
      <x:c r="D78" s="61"/>
      <x:c r="E78" s="61"/>
      <x:c r="F78" s="61"/>
      <x:c r="G78" s="61"/>
      <x:c r="H78" s="61"/>
      <x:c r="I78" s="61"/>
      <x:c r="J78" s="61"/>
      <x:c r="K78" s="61"/>
      <x:c r="L78" s="61"/>
      <x:c r="M78" s="61"/>
      <x:c r="N78" s="61"/>
      <x:c r="O78" s="61"/>
      <x:c r="P78" s="61"/>
      <x:c r="Q78" s="61"/>
      <x:c r="R78" s="61"/>
      <x:c r="S78" s="61"/>
      <x:c r="T78" s="61"/>
      <x:c r="U78" s="61"/>
      <x:c r="V78" s="61"/>
      <x:c r="W78" s="61"/>
      <x:c r="X78" s="61"/>
      <x:c r="Y78" s="61"/>
      <x:c r="Z78" s="61"/>
    </x:row>
    <x:row r="79">
      <x:c r="A79" s="61"/>
      <x:c r="B79" s="61"/>
      <x:c r="C79" s="61"/>
      <x:c r="D79" s="61"/>
      <x:c r="E79" s="61"/>
      <x:c r="F79" s="61"/>
      <x:c r="G79" s="61"/>
      <x:c r="H79" s="61"/>
      <x:c r="I79" s="61"/>
      <x:c r="J79" s="61"/>
      <x:c r="K79" s="61"/>
      <x:c r="L79" s="61"/>
      <x:c r="M79" s="61"/>
      <x:c r="N79" s="61"/>
      <x:c r="O79" s="61"/>
      <x:c r="P79" s="61"/>
      <x:c r="Q79" s="61"/>
      <x:c r="R79" s="61"/>
      <x:c r="S79" s="61"/>
      <x:c r="T79" s="61"/>
      <x:c r="U79" s="61"/>
      <x:c r="V79" s="61"/>
      <x:c r="W79" s="61"/>
      <x:c r="X79" s="61"/>
      <x:c r="Y79" s="61"/>
      <x:c r="Z79" s="61"/>
    </x:row>
    <x:row r="80">
      <x:c r="A80" s="61"/>
      <x:c r="B80" s="61"/>
      <x:c r="C80" s="61"/>
      <x:c r="D80" s="61"/>
      <x:c r="E80" s="61"/>
      <x:c r="F80" s="61"/>
      <x:c r="G80" s="61"/>
      <x:c r="H80" s="61"/>
      <x:c r="I80" s="61"/>
      <x:c r="J80" s="61"/>
      <x:c r="K80" s="61"/>
      <x:c r="L80" s="61"/>
      <x:c r="M80" s="61"/>
      <x:c r="N80" s="61"/>
      <x:c r="O80" s="61"/>
      <x:c r="P80" s="61"/>
      <x:c r="Q80" s="61"/>
      <x:c r="R80" s="61"/>
      <x:c r="S80" s="61"/>
      <x:c r="T80" s="61"/>
      <x:c r="U80" s="61"/>
      <x:c r="V80" s="61"/>
      <x:c r="W80" s="61"/>
      <x:c r="X80" s="61"/>
      <x:c r="Y80" s="61"/>
      <x:c r="Z80" s="61"/>
    </x:row>
    <x:row r="81">
      <x:c r="A81" s="61"/>
      <x:c r="B81" s="61"/>
      <x:c r="C81" s="61"/>
      <x:c r="D81" s="61"/>
      <x:c r="E81" s="61"/>
      <x:c r="F81" s="61"/>
      <x:c r="G81" s="61"/>
      <x:c r="H81" s="61"/>
      <x:c r="I81" s="61"/>
      <x:c r="J81" s="61"/>
      <x:c r="K81" s="61"/>
      <x:c r="L81" s="61"/>
      <x:c r="M81" s="61"/>
      <x:c r="N81" s="61"/>
      <x:c r="O81" s="61"/>
      <x:c r="P81" s="61"/>
      <x:c r="Q81" s="61"/>
      <x:c r="R81" s="61"/>
      <x:c r="S81" s="61"/>
      <x:c r="T81" s="61"/>
      <x:c r="U81" s="61"/>
      <x:c r="V81" s="61"/>
      <x:c r="W81" s="61"/>
      <x:c r="X81" s="61"/>
      <x:c r="Y81" s="61"/>
      <x:c r="Z81" s="61"/>
    </x:row>
    <x:row r="82">
      <x:c r="A82" s="61"/>
      <x:c r="B82" s="61"/>
      <x:c r="C82" s="61"/>
      <x:c r="D82" s="61"/>
      <x:c r="E82" s="61"/>
      <x:c r="F82" s="61"/>
      <x:c r="G82" s="61"/>
      <x:c r="H82" s="61"/>
      <x:c r="I82" s="61"/>
      <x:c r="J82" s="61"/>
      <x:c r="K82" s="61"/>
      <x:c r="L82" s="61"/>
      <x:c r="M82" s="61"/>
      <x:c r="N82" s="61"/>
      <x:c r="O82" s="61"/>
      <x:c r="P82" s="61"/>
      <x:c r="Q82" s="61"/>
      <x:c r="R82" s="61"/>
      <x:c r="S82" s="61"/>
      <x:c r="T82" s="61"/>
      <x:c r="U82" s="61"/>
      <x:c r="V82" s="61"/>
      <x:c r="W82" s="61"/>
      <x:c r="X82" s="61"/>
      <x:c r="Y82" s="61"/>
      <x:c r="Z82" s="61"/>
    </x:row>
    <x:row r="83">
      <x:c r="A83" s="61"/>
      <x:c r="B83" s="61"/>
      <x:c r="C83" s="61"/>
      <x:c r="D83" s="61"/>
      <x:c r="E83" s="61"/>
      <x:c r="F83" s="61"/>
      <x:c r="G83" s="61"/>
      <x:c r="H83" s="61"/>
      <x:c r="I83" s="61"/>
      <x:c r="J83" s="61"/>
      <x:c r="K83" s="61"/>
      <x:c r="L83" s="61"/>
      <x:c r="M83" s="61"/>
      <x:c r="N83" s="61"/>
      <x:c r="O83" s="61"/>
      <x:c r="P83" s="61"/>
      <x:c r="Q83" s="61"/>
      <x:c r="R83" s="61"/>
      <x:c r="S83" s="61"/>
      <x:c r="T83" s="61"/>
      <x:c r="U83" s="61"/>
      <x:c r="V83" s="61"/>
      <x:c r="W83" s="61"/>
      <x:c r="X83" s="61"/>
      <x:c r="Y83" s="61"/>
      <x:c r="Z83" s="61"/>
    </x:row>
    <x:row r="84">
      <x:c r="A84" s="61"/>
      <x:c r="B84" s="61"/>
      <x:c r="C84" s="61"/>
      <x:c r="D84" s="61"/>
      <x:c r="E84" s="61"/>
      <x:c r="F84" s="61"/>
      <x:c r="G84" s="61"/>
      <x:c r="H84" s="61"/>
      <x:c r="I84" s="61"/>
      <x:c r="J84" s="61"/>
      <x:c r="K84" s="61"/>
      <x:c r="L84" s="61"/>
      <x:c r="M84" s="61"/>
      <x:c r="N84" s="61"/>
      <x:c r="O84" s="61"/>
      <x:c r="P84" s="61"/>
      <x:c r="Q84" s="61"/>
      <x:c r="R84" s="61"/>
      <x:c r="S84" s="61"/>
      <x:c r="T84" s="61"/>
      <x:c r="U84" s="61"/>
      <x:c r="V84" s="61"/>
      <x:c r="W84" s="61"/>
      <x:c r="X84" s="61"/>
      <x:c r="Y84" s="61"/>
      <x:c r="Z84" s="61"/>
    </x:row>
    <x:row r="85">
      <x:c r="A85" s="61"/>
      <x:c r="B85" s="61"/>
      <x:c r="C85" s="61"/>
      <x:c r="D85" s="61"/>
      <x:c r="E85" s="61"/>
      <x:c r="F85" s="61"/>
      <x:c r="G85" s="61"/>
      <x:c r="H85" s="61"/>
      <x:c r="I85" s="61"/>
      <x:c r="J85" s="61"/>
      <x:c r="K85" s="61"/>
      <x:c r="L85" s="61"/>
      <x:c r="M85" s="61"/>
      <x:c r="N85" s="61"/>
      <x:c r="O85" s="61"/>
      <x:c r="P85" s="61"/>
      <x:c r="Q85" s="61"/>
      <x:c r="R85" s="61"/>
      <x:c r="S85" s="61"/>
      <x:c r="T85" s="61"/>
      <x:c r="U85" s="61"/>
      <x:c r="V85" s="61"/>
      <x:c r="W85" s="61"/>
      <x:c r="X85" s="61"/>
      <x:c r="Y85" s="61"/>
      <x:c r="Z85" s="61"/>
    </x:row>
    <x:row r="86">
      <x:c r="A86" s="61"/>
      <x:c r="B86" s="61"/>
      <x:c r="C86" s="61"/>
      <x:c r="D86" s="61"/>
      <x:c r="E86" s="61"/>
      <x:c r="F86" s="61"/>
      <x:c r="G86" s="61"/>
      <x:c r="H86" s="61"/>
      <x:c r="I86" s="61"/>
      <x:c r="J86" s="61"/>
      <x:c r="K86" s="61"/>
      <x:c r="L86" s="61"/>
      <x:c r="M86" s="61"/>
      <x:c r="N86" s="61"/>
      <x:c r="O86" s="61"/>
      <x:c r="P86" s="61"/>
      <x:c r="Q86" s="61"/>
      <x:c r="R86" s="61"/>
      <x:c r="S86" s="61"/>
      <x:c r="T86" s="61"/>
      <x:c r="U86" s="61"/>
      <x:c r="V86" s="61"/>
      <x:c r="W86" s="61"/>
      <x:c r="X86" s="61"/>
      <x:c r="Y86" s="61"/>
      <x:c r="Z86" s="61"/>
    </x:row>
    <x:row r="87">
      <x:c r="A87" s="61"/>
      <x:c r="B87" s="61"/>
      <x:c r="C87" s="61"/>
      <x:c r="D87" s="61"/>
      <x:c r="E87" s="61"/>
      <x:c r="F87" s="61"/>
      <x:c r="G87" s="61"/>
      <x:c r="H87" s="61"/>
      <x:c r="I87" s="61"/>
      <x:c r="J87" s="61"/>
      <x:c r="K87" s="61"/>
      <x:c r="L87" s="61"/>
      <x:c r="M87" s="61"/>
      <x:c r="N87" s="61"/>
      <x:c r="O87" s="61"/>
      <x:c r="P87" s="61"/>
      <x:c r="Q87" s="61"/>
      <x:c r="R87" s="61"/>
      <x:c r="S87" s="61"/>
      <x:c r="T87" s="61"/>
      <x:c r="U87" s="61"/>
      <x:c r="V87" s="61"/>
      <x:c r="W87" s="61"/>
      <x:c r="X87" s="61"/>
      <x:c r="Y87" s="61"/>
      <x:c r="Z87" s="61"/>
    </x:row>
    <x:row r="88">
      <x:c r="A88" s="61"/>
      <x:c r="B88" s="61"/>
      <x:c r="C88" s="61"/>
      <x:c r="D88" s="61"/>
      <x:c r="E88" s="61"/>
      <x:c r="F88" s="61"/>
      <x:c r="G88" s="61"/>
      <x:c r="H88" s="61"/>
      <x:c r="I88" s="61"/>
      <x:c r="J88" s="61"/>
      <x:c r="K88" s="61"/>
      <x:c r="L88" s="61"/>
      <x:c r="M88" s="61"/>
      <x:c r="N88" s="61"/>
      <x:c r="O88" s="61"/>
      <x:c r="P88" s="61"/>
      <x:c r="Q88" s="61"/>
      <x:c r="R88" s="61"/>
      <x:c r="S88" s="61"/>
      <x:c r="T88" s="61"/>
      <x:c r="U88" s="61"/>
      <x:c r="V88" s="61"/>
      <x:c r="W88" s="61"/>
      <x:c r="X88" s="61"/>
      <x:c r="Y88" s="61"/>
      <x:c r="Z88" s="61"/>
    </x:row>
    <x:row r="89">
      <x:c r="A89" s="61"/>
      <x:c r="B89" s="61"/>
      <x:c r="C89" s="61"/>
      <x:c r="D89" s="61"/>
      <x:c r="E89" s="61"/>
      <x:c r="F89" s="61"/>
      <x:c r="G89" s="61"/>
      <x:c r="H89" s="61"/>
      <x:c r="I89" s="61"/>
      <x:c r="J89" s="61"/>
      <x:c r="K89" s="61"/>
      <x:c r="L89" s="61"/>
      <x:c r="M89" s="61"/>
      <x:c r="N89" s="61"/>
      <x:c r="O89" s="61"/>
      <x:c r="P89" s="61"/>
      <x:c r="Q89" s="61"/>
      <x:c r="R89" s="61"/>
      <x:c r="S89" s="61"/>
      <x:c r="T89" s="61"/>
      <x:c r="U89" s="61"/>
      <x:c r="V89" s="61"/>
      <x:c r="W89" s="61"/>
      <x:c r="X89" s="61"/>
      <x:c r="Y89" s="61"/>
      <x:c r="Z89" s="61"/>
    </x:row>
    <x:row r="90">
      <x:c r="A90" s="61"/>
      <x:c r="B90" s="61"/>
      <x:c r="C90" s="61"/>
      <x:c r="D90" s="61"/>
      <x:c r="E90" s="61"/>
      <x:c r="F90" s="61"/>
      <x:c r="G90" s="61"/>
      <x:c r="H90" s="61"/>
      <x:c r="I90" s="61"/>
      <x:c r="J90" s="61"/>
      <x:c r="K90" s="61"/>
      <x:c r="L90" s="61"/>
      <x:c r="M90" s="61"/>
      <x:c r="N90" s="61"/>
      <x:c r="O90" s="61"/>
      <x:c r="P90" s="61"/>
      <x:c r="Q90" s="61"/>
      <x:c r="R90" s="61"/>
      <x:c r="S90" s="61"/>
      <x:c r="T90" s="61"/>
      <x:c r="U90" s="61"/>
      <x:c r="V90" s="61"/>
      <x:c r="W90" s="61"/>
      <x:c r="X90" s="61"/>
      <x:c r="Y90" s="61"/>
      <x:c r="Z90" s="61"/>
    </x:row>
    <x:row r="91">
      <x:c r="A91" s="61"/>
      <x:c r="B91" s="61"/>
      <x:c r="C91" s="61"/>
      <x:c r="D91" s="61"/>
      <x:c r="E91" s="61"/>
      <x:c r="F91" s="61"/>
      <x:c r="G91" s="61"/>
      <x:c r="H91" s="61"/>
      <x:c r="I91" s="61"/>
      <x:c r="J91" s="61"/>
      <x:c r="K91" s="61"/>
      <x:c r="L91" s="61"/>
      <x:c r="M91" s="61"/>
      <x:c r="N91" s="61"/>
      <x:c r="O91" s="61"/>
      <x:c r="P91" s="61"/>
      <x:c r="Q91" s="61"/>
      <x:c r="R91" s="61"/>
      <x:c r="S91" s="61"/>
      <x:c r="T91" s="61"/>
      <x:c r="U91" s="61"/>
      <x:c r="V91" s="61"/>
      <x:c r="W91" s="61"/>
      <x:c r="X91" s="61"/>
      <x:c r="Y91" s="61"/>
      <x:c r="Z91" s="61"/>
    </x:row>
    <x:row r="92">
      <x:c r="A92" s="61"/>
      <x:c r="B92" s="61"/>
      <x:c r="C92" s="61"/>
      <x:c r="D92" s="61"/>
      <x:c r="E92" s="61"/>
      <x:c r="F92" s="61"/>
      <x:c r="G92" s="61"/>
      <x:c r="H92" s="61"/>
      <x:c r="I92" s="61"/>
      <x:c r="J92" s="61"/>
      <x:c r="K92" s="61"/>
      <x:c r="L92" s="61"/>
      <x:c r="M92" s="61"/>
      <x:c r="N92" s="61"/>
      <x:c r="O92" s="61"/>
      <x:c r="P92" s="61"/>
      <x:c r="Q92" s="61"/>
      <x:c r="R92" s="61"/>
      <x:c r="S92" s="61"/>
      <x:c r="T92" s="61"/>
      <x:c r="U92" s="61"/>
      <x:c r="V92" s="61"/>
      <x:c r="W92" s="61"/>
      <x:c r="X92" s="61"/>
      <x:c r="Y92" s="61"/>
      <x:c r="Z92" s="61"/>
    </x:row>
    <x:row r="93">
      <x:c r="A93" s="61"/>
      <x:c r="B93" s="61"/>
      <x:c r="C93" s="61"/>
      <x:c r="D93" s="61"/>
      <x:c r="E93" s="61"/>
      <x:c r="F93" s="61"/>
      <x:c r="G93" s="61"/>
      <x:c r="H93" s="61"/>
      <x:c r="I93" s="61"/>
      <x:c r="J93" s="61"/>
      <x:c r="K93" s="61"/>
      <x:c r="L93" s="61"/>
      <x:c r="M93" s="61"/>
      <x:c r="N93" s="61"/>
      <x:c r="O93" s="61"/>
      <x:c r="P93" s="61"/>
      <x:c r="Q93" s="61"/>
      <x:c r="R93" s="61"/>
      <x:c r="S93" s="61"/>
      <x:c r="T93" s="61"/>
      <x:c r="U93" s="61"/>
      <x:c r="V93" s="61"/>
      <x:c r="W93" s="61"/>
      <x:c r="X93" s="61"/>
      <x:c r="Y93" s="61"/>
      <x:c r="Z93" s="61"/>
    </x:row>
    <x:row r="94">
      <x:c r="A94" s="61"/>
      <x:c r="B94" s="61"/>
      <x:c r="C94" s="61"/>
      <x:c r="D94" s="61"/>
      <x:c r="E94" s="61"/>
      <x:c r="F94" s="61"/>
      <x:c r="G94" s="61"/>
      <x:c r="H94" s="61"/>
      <x:c r="I94" s="61"/>
      <x:c r="J94" s="61"/>
      <x:c r="K94" s="61"/>
      <x:c r="L94" s="61"/>
      <x:c r="M94" s="61"/>
      <x:c r="N94" s="61"/>
      <x:c r="O94" s="61"/>
      <x:c r="P94" s="61"/>
      <x:c r="Q94" s="61"/>
      <x:c r="R94" s="61"/>
      <x:c r="S94" s="61"/>
      <x:c r="T94" s="61"/>
      <x:c r="U94" s="61"/>
      <x:c r="V94" s="61"/>
      <x:c r="W94" s="61"/>
      <x:c r="X94" s="61"/>
      <x:c r="Y94" s="61"/>
      <x:c r="Z94" s="61"/>
    </x:row>
    <x:row r="95">
      <x:c r="A95" s="61"/>
      <x:c r="B95" s="61"/>
      <x:c r="C95" s="61"/>
      <x:c r="D95" s="61"/>
      <x:c r="E95" s="61"/>
      <x:c r="F95" s="61"/>
      <x:c r="G95" s="61"/>
      <x:c r="H95" s="61"/>
      <x:c r="I95" s="61"/>
      <x:c r="J95" s="61"/>
      <x:c r="K95" s="61"/>
      <x:c r="L95" s="61"/>
      <x:c r="M95" s="61"/>
      <x:c r="N95" s="61"/>
      <x:c r="O95" s="61"/>
      <x:c r="P95" s="61"/>
      <x:c r="Q95" s="61"/>
      <x:c r="R95" s="61"/>
      <x:c r="S95" s="61"/>
      <x:c r="T95" s="61"/>
      <x:c r="U95" s="61"/>
      <x:c r="V95" s="61"/>
      <x:c r="W95" s="61"/>
      <x:c r="X95" s="61"/>
      <x:c r="Y95" s="61"/>
      <x:c r="Z95" s="61"/>
    </x:row>
    <x:row r="96">
      <x:c r="A96" s="61"/>
      <x:c r="B96" s="61"/>
      <x:c r="C96" s="61"/>
      <x:c r="D96" s="61"/>
      <x:c r="E96" s="61"/>
      <x:c r="F96" s="61"/>
      <x:c r="G96" s="61"/>
      <x:c r="H96" s="61"/>
      <x:c r="I96" s="61"/>
      <x:c r="J96" s="61"/>
      <x:c r="K96" s="61"/>
      <x:c r="L96" s="61"/>
      <x:c r="M96" s="61"/>
      <x:c r="N96" s="61"/>
      <x:c r="O96" s="61"/>
      <x:c r="P96" s="61"/>
      <x:c r="Q96" s="61"/>
      <x:c r="R96" s="61"/>
      <x:c r="S96" s="61"/>
      <x:c r="T96" s="61"/>
      <x:c r="U96" s="61"/>
      <x:c r="V96" s="61"/>
      <x:c r="W96" s="61"/>
      <x:c r="X96" s="61"/>
      <x:c r="Y96" s="61"/>
      <x:c r="Z96" s="61"/>
    </x:row>
    <x:row r="97">
      <x:c r="A97" s="61"/>
      <x:c r="B97" s="61"/>
      <x:c r="C97" s="61"/>
      <x:c r="D97" s="61"/>
      <x:c r="E97" s="61"/>
      <x:c r="F97" s="61"/>
      <x:c r="G97" s="61"/>
      <x:c r="H97" s="61"/>
      <x:c r="I97" s="61"/>
      <x:c r="J97" s="61"/>
      <x:c r="K97" s="61"/>
      <x:c r="L97" s="61"/>
      <x:c r="M97" s="61"/>
      <x:c r="N97" s="61"/>
      <x:c r="O97" s="61"/>
      <x:c r="P97" s="61"/>
      <x:c r="Q97" s="61"/>
      <x:c r="R97" s="61"/>
      <x:c r="S97" s="61"/>
      <x:c r="T97" s="61"/>
      <x:c r="U97" s="61"/>
      <x:c r="V97" s="61"/>
      <x:c r="W97" s="61"/>
      <x:c r="X97" s="61"/>
      <x:c r="Y97" s="61"/>
      <x:c r="Z97" s="61"/>
    </x:row>
    <x:row r="98">
      <x:c r="A98" s="61"/>
      <x:c r="B98" s="61"/>
      <x:c r="C98" s="61"/>
      <x:c r="D98" s="61"/>
      <x:c r="E98" s="61"/>
      <x:c r="F98" s="61"/>
      <x:c r="G98" s="61"/>
      <x:c r="H98" s="61"/>
      <x:c r="I98" s="61"/>
      <x:c r="J98" s="61"/>
      <x:c r="K98" s="61"/>
      <x:c r="L98" s="61"/>
      <x:c r="M98" s="61"/>
      <x:c r="N98" s="61"/>
      <x:c r="O98" s="61"/>
      <x:c r="P98" s="61"/>
      <x:c r="Q98" s="61"/>
      <x:c r="R98" s="61"/>
      <x:c r="S98" s="61"/>
      <x:c r="T98" s="61"/>
      <x:c r="U98" s="61"/>
      <x:c r="V98" s="61"/>
      <x:c r="W98" s="61"/>
      <x:c r="X98" s="61"/>
      <x:c r="Y98" s="61"/>
      <x:c r="Z98" s="61"/>
    </x:row>
    <x:row r="99">
      <x:c r="A99" s="61"/>
      <x:c r="B99" s="61"/>
      <x:c r="C99" s="61"/>
      <x:c r="D99" s="61"/>
      <x:c r="E99" s="61"/>
      <x:c r="F99" s="61"/>
      <x:c r="G99" s="61"/>
      <x:c r="H99" s="61"/>
      <x:c r="I99" s="61"/>
      <x:c r="J99" s="61"/>
      <x:c r="K99" s="61"/>
      <x:c r="L99" s="61"/>
      <x:c r="M99" s="61"/>
      <x:c r="N99" s="61"/>
      <x:c r="O99" s="61"/>
      <x:c r="P99" s="61"/>
      <x:c r="Q99" s="61"/>
      <x:c r="R99" s="61"/>
      <x:c r="S99" s="61"/>
      <x:c r="T99" s="61"/>
      <x:c r="U99" s="61"/>
      <x:c r="V99" s="61"/>
      <x:c r="W99" s="61"/>
      <x:c r="X99" s="61"/>
      <x:c r="Y99" s="61"/>
      <x:c r="Z99" s="61"/>
    </x:row>
    <x:row r="100">
      <x:c r="A100" s="61"/>
      <x:c r="B100" s="61"/>
      <x:c r="C100" s="61"/>
      <x:c r="D100" s="61"/>
      <x:c r="E100" s="61"/>
      <x:c r="F100" s="61"/>
      <x:c r="G100" s="61"/>
      <x:c r="H100" s="61"/>
      <x:c r="I100" s="61"/>
      <x:c r="J100" s="61"/>
      <x:c r="K100" s="61"/>
      <x:c r="L100" s="61"/>
      <x:c r="M100" s="61"/>
      <x:c r="N100" s="61"/>
      <x:c r="O100" s="61"/>
      <x:c r="P100" s="61"/>
      <x:c r="Q100" s="61"/>
      <x:c r="R100" s="61"/>
      <x:c r="S100" s="61"/>
      <x:c r="T100" s="61"/>
      <x:c r="U100" s="61"/>
      <x:c r="V100" s="61"/>
      <x:c r="W100" s="61"/>
      <x:c r="X100" s="61"/>
      <x:c r="Y100" s="61"/>
      <x:c r="Z100" s="61"/>
    </x:row>
  </x:sheetData>
  <x:mergeCells>
    <x:mergeCell ref="A1:N1"/>
  </x:mergeCells>
  <x:conditionalFormatting sqref="F4:F100">
    <x:cfRule type="expression" dxfId="10" priority="1">
      <x:formula>LEFT($F4,8)="Critical"</x:formula>
    </x:cfRule>
    <x:cfRule type="expression" dxfId="11" priority="2">
      <x:formula>LEFT($F4,4)="High"</x:formula>
    </x:cfRule>
    <x:cfRule type="expression" dxfId="12" priority="3">
      <x:formula>LEFT($F4,8)="Moderate"</x:formula>
    </x:cfRule>
    <x:cfRule type="expression" dxfId="13" priority="4">
      <x:formula>LEFT($F4,3)="Low"</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26" hidden="0" customWidth="1"/>
    <x:col min="2" max="2" width="42" hidden="0" customWidth="1"/>
    <x:col min="3" max="3" width="34" hidden="0" customWidth="1"/>
    <x:col min="4" max="4" width="38" hidden="0" customWidth="1"/>
    <x:col min="5" max="5" width="46" hidden="0" customWidth="1"/>
  </x:cols>
  <x:sheetData>
    <x:row r="1">
      <x:c r="A1" s="78" t="str">
        <x:v>DUCKWORKS | AI ASSET INVENTORY DATA DICTIONARY</x:v>
      </x:c>
      <x:c r="B1" s="61"/>
      <x:c r="C1" s="61"/>
      <x:c r="D1" s="61"/>
      <x:c r="E1" s="61"/>
      <x:c r="F1" s="61"/>
      <x:c r="G1" s="61"/>
      <x:c r="H1" s="61"/>
      <x:c r="I1" s="61"/>
      <x:c r="J1" s="61"/>
      <x:c r="K1" s="61"/>
      <x:c r="L1" s="61"/>
      <x:c r="M1" s="61"/>
      <x:c r="N1" s="61"/>
      <x:c r="O1" s="61"/>
      <x:c r="P1" s="61"/>
      <x:c r="Q1" s="61"/>
      <x:c r="R1" s="61"/>
      <x:c r="S1" s="61"/>
      <x:c r="T1" s="61"/>
      <x:c r="U1" s="61"/>
      <x:c r="V1" s="61"/>
      <x:c r="W1" s="61"/>
      <x:c r="X1" s="61"/>
      <x:c r="Y1" s="61"/>
      <x:c r="Z1" s="61"/>
    </x:row>
    <x:row r="2">
      <x:c r="A2" s="61"/>
      <x:c r="B2" s="61"/>
      <x:c r="C2" s="61"/>
      <x:c r="D2" s="61"/>
      <x:c r="E2" s="61"/>
      <x:c r="F2" s="61"/>
      <x:c r="G2" s="61"/>
      <x:c r="H2" s="61"/>
      <x:c r="I2" s="61"/>
      <x:c r="J2" s="61"/>
      <x:c r="K2" s="61"/>
      <x:c r="L2" s="61"/>
      <x:c r="M2" s="61"/>
      <x:c r="N2" s="61"/>
      <x:c r="O2" s="61"/>
      <x:c r="P2" s="61"/>
      <x:c r="Q2" s="61"/>
      <x:c r="R2" s="61"/>
      <x:c r="S2" s="61"/>
      <x:c r="T2" s="61"/>
      <x:c r="U2" s="61"/>
      <x:c r="V2" s="61"/>
      <x:c r="W2" s="61"/>
      <x:c r="X2" s="61"/>
      <x:c r="Y2" s="61"/>
      <x:c r="Z2" s="61"/>
    </x:row>
    <x:row r="3">
      <x:c r="A3" s="63" t="str">
        <x:v>Field</x:v>
      </x:c>
      <x:c r="B3" s="63" t="str">
        <x:v>Purpose</x:v>
      </x:c>
      <x:c r="C3" s="63" t="str">
        <x:v>Expected Format / Values</x:v>
      </x:c>
      <x:c r="D3" s="63" t="str">
        <x:v>Evidence Expectation</x:v>
      </x:c>
      <x:c r="E3" s="63" t="str">
        <x:v>Governance Note</x:v>
      </x:c>
      <x:c r="F3" s="61"/>
      <x:c r="G3" s="61"/>
      <x:c r="H3" s="61"/>
      <x:c r="I3" s="61"/>
      <x:c r="J3" s="61"/>
      <x:c r="K3" s="61"/>
      <x:c r="L3" s="61"/>
      <x:c r="M3" s="61"/>
      <x:c r="N3" s="61"/>
      <x:c r="O3" s="61"/>
      <x:c r="P3" s="61"/>
      <x:c r="Q3" s="61"/>
      <x:c r="R3" s="61"/>
      <x:c r="S3" s="61"/>
      <x:c r="T3" s="61"/>
      <x:c r="U3" s="61"/>
      <x:c r="V3" s="61"/>
      <x:c r="W3" s="61"/>
      <x:c r="X3" s="61"/>
      <x:c r="Y3" s="61"/>
      <x:c r="Z3" s="61"/>
    </x:row>
    <x:row r="4">
      <x:c r="A4" s="67" t="str">
        <x:v>AI ID</x:v>
      </x:c>
      <x:c r="B4" s="67" t="str">
        <x:v>Unique controlled identifier for the governed AI system/use case.</x:v>
      </x:c>
      <x:c r="C4" s="67" t="str">
        <x:v>AI-###</x:v>
      </x:c>
      <x:c r="D4" s="67" t="str">
        <x:v>Must remain stable across inventory, assessments, controls and approvals.</x:v>
      </x:c>
      <x:c r="E4" s="67" t="str">
        <x:v>AI-007 is a special shadow-AI condition until decomposed.</x:v>
      </x:c>
      <x:c r="F4" s="61"/>
      <x:c r="G4" s="61"/>
      <x:c r="H4" s="61"/>
      <x:c r="I4" s="61"/>
      <x:c r="J4" s="61"/>
      <x:c r="K4" s="61"/>
      <x:c r="L4" s="61"/>
      <x:c r="M4" s="61"/>
      <x:c r="N4" s="61"/>
      <x:c r="O4" s="61"/>
      <x:c r="P4" s="61"/>
      <x:c r="Q4" s="61"/>
      <x:c r="R4" s="61"/>
      <x:c r="S4" s="61"/>
      <x:c r="T4" s="61"/>
      <x:c r="U4" s="61"/>
      <x:c r="V4" s="61"/>
      <x:c r="W4" s="61"/>
      <x:c r="X4" s="61"/>
      <x:c r="Y4" s="61"/>
      <x:c r="Z4" s="61"/>
    </x:row>
    <x:row r="5">
      <x:c r="A5" s="67" t="str">
        <x:v>System Name</x:v>
      </x:c>
      <x:c r="B5" s="67" t="str">
        <x:v>Business-recognizable name of the AI system/use case.</x:v>
      </x:c>
      <x:c r="C5" s="67" t="str">
        <x:v>Text</x:v>
      </x:c>
      <x:c r="D5" s="67" t="str">
        <x:v>Supported by approved business use case or discovery record.</x:v>
      </x:c>
      <x:c r="E5" s="67" t="str">
        <x:v>Do not use vendor/model name as the system identity unless they are truly equivalent.</x:v>
      </x:c>
      <x:c r="F5" s="61"/>
      <x:c r="G5" s="61"/>
      <x:c r="H5" s="61"/>
      <x:c r="I5" s="61"/>
      <x:c r="J5" s="61"/>
      <x:c r="K5" s="61"/>
      <x:c r="L5" s="61"/>
      <x:c r="M5" s="61"/>
      <x:c r="N5" s="61"/>
      <x:c r="O5" s="61"/>
      <x:c r="P5" s="61"/>
      <x:c r="Q5" s="61"/>
      <x:c r="R5" s="61"/>
      <x:c r="S5" s="61"/>
      <x:c r="T5" s="61"/>
      <x:c r="U5" s="61"/>
      <x:c r="V5" s="61"/>
      <x:c r="W5" s="61"/>
      <x:c r="X5" s="61"/>
      <x:c r="Y5" s="61"/>
      <x:c r="Z5" s="61"/>
    </x:row>
    <x:row r="6">
      <x:c r="A6" s="67" t="str">
        <x:v>Intended / Short Description</x:v>
      </x:c>
      <x:c r="B6" s="67" t="str">
        <x:v>Concise description of what the AI does and why.</x:v>
      </x:c>
      <x:c r="C6" s="67" t="str">
        <x:v>Text</x:v>
      </x:c>
      <x:c r="D6" s="67" t="str">
        <x:v>Traceable to business use case.</x:v>
      </x:c>
      <x:c r="E6" s="67" t="str">
        <x:v>Material purpose changes trigger reassessment.</x:v>
      </x:c>
      <x:c r="F6" s="61"/>
      <x:c r="G6" s="61"/>
      <x:c r="H6" s="61"/>
      <x:c r="I6" s="61"/>
      <x:c r="J6" s="61"/>
      <x:c r="K6" s="61"/>
      <x:c r="L6" s="61"/>
      <x:c r="M6" s="61"/>
      <x:c r="N6" s="61"/>
      <x:c r="O6" s="61"/>
      <x:c r="P6" s="61"/>
      <x:c r="Q6" s="61"/>
      <x:c r="R6" s="61"/>
      <x:c r="S6" s="61"/>
      <x:c r="T6" s="61"/>
      <x:c r="U6" s="61"/>
      <x:c r="V6" s="61"/>
      <x:c r="W6" s="61"/>
      <x:c r="X6" s="61"/>
      <x:c r="Y6" s="61"/>
      <x:c r="Z6" s="61"/>
    </x:row>
    <x:row r="7">
      <x:c r="A7" s="67" t="str">
        <x:v>Business Owner</x:v>
      </x:c>
      <x:c r="B7" s="67" t="str">
        <x:v>First-line owner accountable for intended purpose and business outcome.</x:v>
      </x:c>
      <x:c r="C7" s="67" t="str">
        <x:v>Named person + role</x:v>
      </x:c>
      <x:c r="D7" s="67" t="str">
        <x:v>Confirmed ownership record / RACI.</x:v>
      </x:c>
      <x:c r="E7" s="67" t="str">
        <x:v>High/Critical risk cannot be self-approved outside delegated authority.</x:v>
      </x:c>
      <x:c r="F7" s="61"/>
      <x:c r="G7" s="61"/>
      <x:c r="H7" s="61"/>
      <x:c r="I7" s="61"/>
      <x:c r="J7" s="61"/>
      <x:c r="K7" s="61"/>
      <x:c r="L7" s="61"/>
      <x:c r="M7" s="61"/>
      <x:c r="N7" s="61"/>
      <x:c r="O7" s="61"/>
      <x:c r="P7" s="61"/>
      <x:c r="Q7" s="61"/>
      <x:c r="R7" s="61"/>
      <x:c r="S7" s="61"/>
      <x:c r="T7" s="61"/>
      <x:c r="U7" s="61"/>
      <x:c r="V7" s="61"/>
      <x:c r="W7" s="61"/>
      <x:c r="X7" s="61"/>
      <x:c r="Y7" s="61"/>
      <x:c r="Z7" s="61"/>
    </x:row>
    <x:row r="8">
      <x:c r="A8" s="67" t="str">
        <x:v>Technical Owner</x:v>
      </x:c>
      <x:c r="B8" s="67" t="str">
        <x:v>Owner of architecture, model/service implementation, validation and technical evidence.</x:v>
      </x:c>
      <x:c r="C8" s="67" t="str">
        <x:v>Named person + role</x:v>
      </x:c>
      <x:c r="D8" s="67" t="str">
        <x:v>Architecture / model documentation.</x:v>
      </x:c>
      <x:c r="E8" s="67" t="str">
        <x:v>May differ from business owner.</x:v>
      </x:c>
      <x:c r="F8" s="61"/>
      <x:c r="G8" s="61"/>
      <x:c r="H8" s="61"/>
      <x:c r="I8" s="61"/>
      <x:c r="J8" s="61"/>
      <x:c r="K8" s="61"/>
      <x:c r="L8" s="61"/>
      <x:c r="M8" s="61"/>
      <x:c r="N8" s="61"/>
      <x:c r="O8" s="61"/>
      <x:c r="P8" s="61"/>
      <x:c r="Q8" s="61"/>
      <x:c r="R8" s="61"/>
      <x:c r="S8" s="61"/>
      <x:c r="T8" s="61"/>
      <x:c r="U8" s="61"/>
      <x:c r="V8" s="61"/>
      <x:c r="W8" s="61"/>
      <x:c r="X8" s="61"/>
      <x:c r="Y8" s="61"/>
      <x:c r="Z8" s="61"/>
    </x:row>
    <x:row r="9">
      <x:c r="A9" s="67" t="str">
        <x:v>Lifecycle Status</x:v>
      </x:c>
      <x:c r="B9" s="67" t="str">
        <x:v>Current stage in the governed lifecycle.</x:v>
      </x:c>
      <x:c r="C9" s="67" t="str">
        <x:v>Concept; Development; Pilot; Production; Discovered; Retired</x:v>
      </x:c>
      <x:c r="D9" s="67" t="str">
        <x:v>Approval / release record.</x:v>
      </x:c>
      <x:c r="E9" s="67" t="str">
        <x:v>A lifecycle stage is a permission boundary, not just a project label.</x:v>
      </x:c>
      <x:c r="F9" s="61"/>
      <x:c r="G9" s="61"/>
      <x:c r="H9" s="61"/>
      <x:c r="I9" s="61"/>
      <x:c r="J9" s="61"/>
      <x:c r="K9" s="61"/>
      <x:c r="L9" s="61"/>
      <x:c r="M9" s="61"/>
      <x:c r="N9" s="61"/>
      <x:c r="O9" s="61"/>
      <x:c r="P9" s="61"/>
      <x:c r="Q9" s="61"/>
      <x:c r="R9" s="61"/>
      <x:c r="S9" s="61"/>
      <x:c r="T9" s="61"/>
      <x:c r="U9" s="61"/>
      <x:c r="V9" s="61"/>
      <x:c r="W9" s="61"/>
      <x:c r="X9" s="61"/>
      <x:c r="Y9" s="61"/>
      <x:c r="Z9" s="61"/>
    </x:row>
    <x:row r="10">
      <x:c r="A10" s="67" t="str">
        <x:v>AI Type</x:v>
      </x:c>
      <x:c r="B10" s="67" t="str">
        <x:v>High-level technology classification.</x:v>
      </x:c>
      <x:c r="C10" s="67" t="str">
        <x:v>Generative AI; RAG; Predictive ML; Computer Vision; Ranking; etc.</x:v>
      </x:c>
      <x:c r="D10" s="67" t="str">
        <x:v>Architecture / model documentation.</x:v>
      </x:c>
      <x:c r="E10" s="67" t="str">
        <x:v>Technology type does not determine legal classification by itself.</x:v>
      </x:c>
      <x:c r="F10" s="61"/>
      <x:c r="G10" s="61"/>
      <x:c r="H10" s="61"/>
      <x:c r="I10" s="61"/>
      <x:c r="J10" s="61"/>
      <x:c r="K10" s="61"/>
      <x:c r="L10" s="61"/>
      <x:c r="M10" s="61"/>
      <x:c r="N10" s="61"/>
      <x:c r="O10" s="61"/>
      <x:c r="P10" s="61"/>
      <x:c r="Q10" s="61"/>
      <x:c r="R10" s="61"/>
      <x:c r="S10" s="61"/>
      <x:c r="T10" s="61"/>
      <x:c r="U10" s="61"/>
      <x:c r="V10" s="61"/>
      <x:c r="W10" s="61"/>
      <x:c r="X10" s="61"/>
      <x:c r="Y10" s="61"/>
      <x:c r="Z10" s="61"/>
    </x:row>
    <x:row r="11">
      <x:c r="A11" s="67" t="str">
        <x:v>Provider</x:v>
      </x:c>
      <x:c r="B11" s="67" t="str">
        <x:v>AI/model/service provider or internal development source.</x:v>
      </x:c>
      <x:c r="C11" s="67" t="str">
        <x:v>Text; TBD; Unknown</x:v>
      </x:c>
      <x:c r="D11" s="67" t="str">
        <x:v>Supplier or architecture evidence.</x:v>
      </x:c>
      <x:c r="E11" s="67" t="str">
        <x:v>Do not invent a vendor where it is not evidenced.</x:v>
      </x:c>
      <x:c r="F11" s="61"/>
      <x:c r="G11" s="61"/>
      <x:c r="H11" s="61"/>
      <x:c r="I11" s="61"/>
      <x:c r="J11" s="61"/>
      <x:c r="K11" s="61"/>
      <x:c r="L11" s="61"/>
      <x:c r="M11" s="61"/>
      <x:c r="N11" s="61"/>
      <x:c r="O11" s="61"/>
      <x:c r="P11" s="61"/>
      <x:c r="Q11" s="61"/>
      <x:c r="R11" s="61"/>
      <x:c r="S11" s="61"/>
      <x:c r="T11" s="61"/>
      <x:c r="U11" s="61"/>
      <x:c r="V11" s="61"/>
      <x:c r="W11" s="61"/>
      <x:c r="X11" s="61"/>
      <x:c r="Y11" s="61"/>
      <x:c r="Z11" s="61"/>
    </x:row>
    <x:row r="12">
      <x:c r="A12" s="67" t="str">
        <x:v>Input Data</x:v>
      </x:c>
      <x:c r="B12" s="67" t="str">
        <x:v>Material data categories used by the system.</x:v>
      </x:c>
      <x:c r="C12" s="67" t="str">
        <x:v>Text</x:v>
      </x:c>
      <x:c r="D12" s="67" t="str">
        <x:v>Data dictionary / architecture / DPIA where relevant.</x:v>
      </x:c>
      <x:c r="E12" s="67" t="str">
        <x:v>Include personal, confidential, IP and source-system boundaries.</x:v>
      </x:c>
      <x:c r="F12" s="61"/>
      <x:c r="G12" s="61"/>
      <x:c r="H12" s="61"/>
      <x:c r="I12" s="61"/>
      <x:c r="J12" s="61"/>
      <x:c r="K12" s="61"/>
      <x:c r="L12" s="61"/>
      <x:c r="M12" s="61"/>
      <x:c r="N12" s="61"/>
      <x:c r="O12" s="61"/>
      <x:c r="P12" s="61"/>
      <x:c r="Q12" s="61"/>
      <x:c r="R12" s="61"/>
      <x:c r="S12" s="61"/>
      <x:c r="T12" s="61"/>
      <x:c r="U12" s="61"/>
      <x:c r="V12" s="61"/>
      <x:c r="W12" s="61"/>
      <x:c r="X12" s="61"/>
      <x:c r="Y12" s="61"/>
      <x:c r="Z12" s="61"/>
    </x:row>
    <x:row r="13">
      <x:c r="A13" s="67" t="str">
        <x:v>Data Classification</x:v>
      </x:c>
      <x:c r="B13" s="67" t="str">
        <x:v>Highest or mixed information-classification state.</x:v>
      </x:c>
      <x:c r="C13" s="67" t="str">
        <x:v>Public; Internal; Confidential; Highly Confidential; Mixed; TBD</x:v>
      </x:c>
      <x:c r="D13" s="67" t="str">
        <x:v>Information-classification evidence.</x:v>
      </x:c>
      <x:c r="E13" s="67" t="str">
        <x:v>Use the most protective applicable classification where appropriate.</x:v>
      </x:c>
      <x:c r="F13" s="61"/>
      <x:c r="G13" s="61"/>
      <x:c r="H13" s="61"/>
      <x:c r="I13" s="61"/>
      <x:c r="J13" s="61"/>
      <x:c r="K13" s="61"/>
      <x:c r="L13" s="61"/>
      <x:c r="M13" s="61"/>
      <x:c r="N13" s="61"/>
      <x:c r="O13" s="61"/>
      <x:c r="P13" s="61"/>
      <x:c r="Q13" s="61"/>
      <x:c r="R13" s="61"/>
      <x:c r="S13" s="61"/>
      <x:c r="T13" s="61"/>
      <x:c r="U13" s="61"/>
      <x:c r="V13" s="61"/>
      <x:c r="W13" s="61"/>
      <x:c r="X13" s="61"/>
      <x:c r="Y13" s="61"/>
      <x:c r="Z13" s="61"/>
    </x:row>
    <x:row r="14">
      <x:c r="A14" s="67" t="str">
        <x:v>Affected Persons</x:v>
      </x:c>
      <x:c r="B14" s="67" t="str">
        <x:v>Individuals/groups who may be materially affected by AI outputs or decisions.</x:v>
      </x:c>
      <x:c r="C14" s="67" t="str">
        <x:v>Text</x:v>
      </x:c>
      <x:c r="D14" s="67" t="str">
        <x:v>AIA / impact assessment.</x:v>
      </x:c>
      <x:c r="E14" s="67" t="str">
        <x:v>Not limited to system users.</x:v>
      </x:c>
      <x:c r="F14" s="61"/>
      <x:c r="G14" s="61"/>
      <x:c r="H14" s="61"/>
      <x:c r="I14" s="61"/>
      <x:c r="J14" s="61"/>
      <x:c r="K14" s="61"/>
      <x:c r="L14" s="61"/>
      <x:c r="M14" s="61"/>
      <x:c r="N14" s="61"/>
      <x:c r="O14" s="61"/>
      <x:c r="P14" s="61"/>
      <x:c r="Q14" s="61"/>
      <x:c r="R14" s="61"/>
      <x:c r="S14" s="61"/>
      <x:c r="T14" s="61"/>
      <x:c r="U14" s="61"/>
      <x:c r="V14" s="61"/>
      <x:c r="W14" s="61"/>
      <x:c r="X14" s="61"/>
      <x:c r="Y14" s="61"/>
      <x:c r="Z14" s="61"/>
    </x:row>
    <x:row r="15">
      <x:c r="A15" s="67" t="str">
        <x:v>Automation Level</x:v>
      </x:c>
      <x:c r="B15" s="67" t="str">
        <x:v>Degree of AI autonomy in the business process.</x:v>
      </x:c>
      <x:c r="C15" s="67" t="str">
        <x:v>Assistive; Decision Support; Semi-automated; Automated; Unknown</x:v>
      </x:c>
      <x:c r="D15" s="67" t="str">
        <x:v>Business use case / process design.</x:v>
      </x:c>
      <x:c r="E15" s="67" t="str">
        <x:v>Human-in-the-loop labels require evidence of meaningful authority.</x:v>
      </x:c>
      <x:c r="F15" s="61"/>
      <x:c r="G15" s="61"/>
      <x:c r="H15" s="61"/>
      <x:c r="I15" s="61"/>
      <x:c r="J15" s="61"/>
      <x:c r="K15" s="61"/>
      <x:c r="L15" s="61"/>
      <x:c r="M15" s="61"/>
      <x:c r="N15" s="61"/>
      <x:c r="O15" s="61"/>
      <x:c r="P15" s="61"/>
      <x:c r="Q15" s="61"/>
      <x:c r="R15" s="61"/>
      <x:c r="S15" s="61"/>
      <x:c r="T15" s="61"/>
      <x:c r="U15" s="61"/>
      <x:c r="V15" s="61"/>
      <x:c r="W15" s="61"/>
      <x:c r="X15" s="61"/>
      <x:c r="Y15" s="61"/>
      <x:c r="Z15" s="61"/>
    </x:row>
    <x:row r="16">
      <x:c r="A16" s="67" t="str">
        <x:v>Human Oversight</x:v>
      </x:c>
      <x:c r="B16" s="67" t="str">
        <x:v>Required human review, override, escalation and stop authority.</x:v>
      </x:c>
      <x:c r="C16" s="67" t="str">
        <x:v>Mandatory; Required; Unknown; N/A</x:v>
      </x:c>
      <x:c r="D16" s="67" t="str">
        <x:v>Oversight procedure and user evidence.</x:v>
      </x:c>
      <x:c r="E16" s="67" t="str">
        <x:v>Human presence alone is not sufficient if review is nominal.</x:v>
      </x:c>
      <x:c r="F16" s="61"/>
      <x:c r="G16" s="61"/>
      <x:c r="H16" s="61"/>
      <x:c r="I16" s="61"/>
      <x:c r="J16" s="61"/>
      <x:c r="K16" s="61"/>
      <x:c r="L16" s="61"/>
      <x:c r="M16" s="61"/>
      <x:c r="N16" s="61"/>
      <x:c r="O16" s="61"/>
      <x:c r="P16" s="61"/>
      <x:c r="Q16" s="61"/>
      <x:c r="R16" s="61"/>
      <x:c r="S16" s="61"/>
      <x:c r="T16" s="61"/>
      <x:c r="U16" s="61"/>
      <x:c r="V16" s="61"/>
      <x:c r="W16" s="61"/>
      <x:c r="X16" s="61"/>
      <x:c r="Y16" s="61"/>
      <x:c r="Z16" s="61"/>
    </x:row>
    <x:row r="17">
      <x:c r="A17" s="67" t="str">
        <x:v>Governance Priority</x:v>
      </x:c>
      <x:c r="B17" s="67" t="str">
        <x:v>Internal governance triage label.</x:v>
      </x:c>
      <x:c r="C17" s="67" t="str">
        <x:v>Low; Medium; High; Critical</x:v>
      </x:c>
      <x:c r="D17" s="67" t="str">
        <x:v>Risk/impact methodology.</x:v>
      </x:c>
      <x:c r="E17" s="67" t="str">
        <x:v>Not equivalent to statutory risk classification.</x:v>
      </x:c>
      <x:c r="F17" s="61"/>
      <x:c r="G17" s="61"/>
      <x:c r="H17" s="61"/>
      <x:c r="I17" s="61"/>
      <x:c r="J17" s="61"/>
      <x:c r="K17" s="61"/>
      <x:c r="L17" s="61"/>
      <x:c r="M17" s="61"/>
      <x:c r="N17" s="61"/>
      <x:c r="O17" s="61"/>
      <x:c r="P17" s="61"/>
      <x:c r="Q17" s="61"/>
      <x:c r="R17" s="61"/>
      <x:c r="S17" s="61"/>
      <x:c r="T17" s="61"/>
      <x:c r="U17" s="61"/>
      <x:c r="V17" s="61"/>
      <x:c r="W17" s="61"/>
      <x:c r="X17" s="61"/>
      <x:c r="Y17" s="61"/>
      <x:c r="Z17" s="61"/>
    </x:row>
    <x:row r="18">
      <x:c r="A18" s="67" t="str">
        <x:v>Inherent Risk</x:v>
      </x:c>
      <x:c r="B18" s="67" t="str">
        <x:v>Risk before crediting Duckworks controls.</x:v>
      </x:c>
      <x:c r="C18" s="67" t="str">
        <x:v>Low/Moderate/High/Critical + score</x:v>
      </x:c>
      <x:c r="D18" s="67" t="str">
        <x:v>Risk assessment.</x:v>
      </x:c>
      <x:c r="E18" s="67" t="str">
        <x:v>Scenario-based rating.</x:v>
      </x:c>
      <x:c r="F18" s="61"/>
      <x:c r="G18" s="61"/>
      <x:c r="H18" s="61"/>
      <x:c r="I18" s="61"/>
      <x:c r="J18" s="61"/>
      <x:c r="K18" s="61"/>
      <x:c r="L18" s="61"/>
      <x:c r="M18" s="61"/>
      <x:c r="N18" s="61"/>
      <x:c r="O18" s="61"/>
      <x:c r="P18" s="61"/>
      <x:c r="Q18" s="61"/>
      <x:c r="R18" s="61"/>
      <x:c r="S18" s="61"/>
      <x:c r="T18" s="61"/>
      <x:c r="U18" s="61"/>
      <x:c r="V18" s="61"/>
      <x:c r="W18" s="61"/>
      <x:c r="X18" s="61"/>
      <x:c r="Y18" s="61"/>
      <x:c r="Z18" s="61"/>
    </x:row>
    <x:row r="19">
      <x:c r="A19" s="67" t="str">
        <x:v>Control Effectiveness</x:v>
      </x:c>
      <x:c r="B19" s="67" t="str">
        <x:v>Current operating effectiveness of implemented controls.</x:v>
      </x:c>
      <x:c r="C19" s="67" t="str">
        <x:v>Not Implemented; Weak; Partially Effective; Effective; Strong / Verified</x:v>
      </x:c>
      <x:c r="D19" s="67" t="str">
        <x:v>Control evidence.</x:v>
      </x:c>
      <x:c r="E19" s="67" t="str">
        <x:v>Planned controls receive no implementation credit.</x:v>
      </x:c>
      <x:c r="F19" s="61"/>
      <x:c r="G19" s="61"/>
      <x:c r="H19" s="61"/>
      <x:c r="I19" s="61"/>
      <x:c r="J19" s="61"/>
      <x:c r="K19" s="61"/>
      <x:c r="L19" s="61"/>
      <x:c r="M19" s="61"/>
      <x:c r="N19" s="61"/>
      <x:c r="O19" s="61"/>
      <x:c r="P19" s="61"/>
      <x:c r="Q19" s="61"/>
      <x:c r="R19" s="61"/>
      <x:c r="S19" s="61"/>
      <x:c r="T19" s="61"/>
      <x:c r="U19" s="61"/>
      <x:c r="V19" s="61"/>
      <x:c r="W19" s="61"/>
      <x:c r="X19" s="61"/>
      <x:c r="Y19" s="61"/>
      <x:c r="Z19" s="61"/>
    </x:row>
    <x:row r="20">
      <x:c r="A20" s="67" t="str">
        <x:v>Residual Risk</x:v>
      </x:c>
      <x:c r="B20" s="67" t="str">
        <x:v>Risk remaining after implemented, evidenced controls.</x:v>
      </x:c>
      <x:c r="C20" s="67" t="str">
        <x:v>Low/Moderate/High/Critical + score</x:v>
      </x:c>
      <x:c r="D20" s="67" t="str">
        <x:v>Risk assessment + control evidence.</x:v>
      </x:c>
      <x:c r="E20" s="67" t="str">
        <x:v>Target residual risk must not be reported as current residual risk.</x:v>
      </x:c>
      <x:c r="F20" s="61"/>
      <x:c r="G20" s="61"/>
      <x:c r="H20" s="61"/>
      <x:c r="I20" s="61"/>
      <x:c r="J20" s="61"/>
      <x:c r="K20" s="61"/>
      <x:c r="L20" s="61"/>
      <x:c r="M20" s="61"/>
      <x:c r="N20" s="61"/>
      <x:c r="O20" s="61"/>
      <x:c r="P20" s="61"/>
      <x:c r="Q20" s="61"/>
      <x:c r="R20" s="61"/>
      <x:c r="S20" s="61"/>
      <x:c r="T20" s="61"/>
      <x:c r="U20" s="61"/>
      <x:c r="V20" s="61"/>
      <x:c r="W20" s="61"/>
      <x:c r="X20" s="61"/>
      <x:c r="Y20" s="61"/>
      <x:c r="Z20" s="61"/>
    </x:row>
    <x:row r="21">
      <x:c r="A21" s="67" t="str">
        <x:v>Assessment Status</x:v>
      </x:c>
      <x:c r="B21" s="67" t="str">
        <x:v>Status of AIA/security/specialist review.</x:v>
      </x:c>
      <x:c r="C21" s="67" t="str">
        <x:v>Not Started; Planned; In Progress; Complete; Refresh Required; N/A</x:v>
      </x:c>
      <x:c r="D21" s="67" t="str">
        <x:v>Assessment record.</x:v>
      </x:c>
      <x:c r="E21" s="67" t="str">
        <x:v>Material change can invalidate a completed assessment.</x:v>
      </x:c>
      <x:c r="F21" s="61"/>
      <x:c r="G21" s="61"/>
      <x:c r="H21" s="61"/>
      <x:c r="I21" s="61"/>
      <x:c r="J21" s="61"/>
      <x:c r="K21" s="61"/>
      <x:c r="L21" s="61"/>
      <x:c r="M21" s="61"/>
      <x:c r="N21" s="61"/>
      <x:c r="O21" s="61"/>
      <x:c r="P21" s="61"/>
      <x:c r="Q21" s="61"/>
      <x:c r="R21" s="61"/>
      <x:c r="S21" s="61"/>
      <x:c r="T21" s="61"/>
      <x:c r="U21" s="61"/>
      <x:c r="V21" s="61"/>
      <x:c r="W21" s="61"/>
      <x:c r="X21" s="61"/>
      <x:c r="Y21" s="61"/>
      <x:c r="Z21" s="61"/>
    </x:row>
    <x:row r="22">
      <x:c r="A22" s="67" t="str">
        <x:v>Approval Status</x:v>
      </x:c>
      <x:c r="B22" s="67" t="str">
        <x:v>Current governance approval state.</x:v>
      </x:c>
      <x:c r="C22" s="67" t="str">
        <x:v>Not Submitted; Under Review; Conditionally Approved; Approved; N/A</x:v>
      </x:c>
      <x:c r="D22" s="67" t="str">
        <x:v>Formal approval record.</x:v>
      </x:c>
      <x:c r="E22" s="67" t="str">
        <x:v>Approval applies only to the approved purpose, data, users, model/provider and deployment boundary.</x:v>
      </x:c>
      <x:c r="F22" s="61"/>
      <x:c r="G22" s="61"/>
      <x:c r="H22" s="61"/>
      <x:c r="I22" s="61"/>
      <x:c r="J22" s="61"/>
      <x:c r="K22" s="61"/>
      <x:c r="L22" s="61"/>
      <x:c r="M22" s="61"/>
      <x:c r="N22" s="61"/>
      <x:c r="O22" s="61"/>
      <x:c r="P22" s="61"/>
      <x:c r="Q22" s="61"/>
      <x:c r="R22" s="61"/>
      <x:c r="S22" s="61"/>
      <x:c r="T22" s="61"/>
      <x:c r="U22" s="61"/>
      <x:c r="V22" s="61"/>
      <x:c r="W22" s="61"/>
      <x:c r="X22" s="61"/>
      <x:c r="Y22" s="61"/>
      <x:c r="Z22" s="61"/>
    </x:row>
    <x:row r="23">
      <x:c r="A23" s="67" t="str">
        <x:v>Current Governance Gate</x:v>
      </x:c>
      <x:c r="B23" s="67" t="str">
        <x:v>Operational permission boundary presently in force.</x:v>
      </x:c>
      <x:c r="C23" s="67" t="str">
        <x:v>Text</x:v>
      </x:c>
      <x:c r="D23" s="67" t="str">
        <x:v>Acceptance criteria / governance decision.</x:v>
      </x:c>
      <x:c r="E23" s="67" t="str">
        <x:v>Examples include restricted pilot, blocked production, monitoring, containment.</x:v>
      </x:c>
      <x:c r="F23" s="61"/>
      <x:c r="G23" s="61"/>
      <x:c r="H23" s="61"/>
      <x:c r="I23" s="61"/>
      <x:c r="J23" s="61"/>
      <x:c r="K23" s="61"/>
      <x:c r="L23" s="61"/>
      <x:c r="M23" s="61"/>
      <x:c r="N23" s="61"/>
      <x:c r="O23" s="61"/>
      <x:c r="P23" s="61"/>
      <x:c r="Q23" s="61"/>
      <x:c r="R23" s="61"/>
      <x:c r="S23" s="61"/>
      <x:c r="T23" s="61"/>
      <x:c r="U23" s="61"/>
      <x:c r="V23" s="61"/>
      <x:c r="W23" s="61"/>
      <x:c r="X23" s="61"/>
      <x:c r="Y23" s="61"/>
      <x:c r="Z23" s="61"/>
    </x:row>
    <x:row r="24">
      <x:c r="A24" s="67" t="str">
        <x:v>Next Review Date</x:v>
      </x:c>
      <x:c r="B24" s="67" t="str">
        <x:v>Scheduled next review where known.</x:v>
      </x:c>
      <x:c r="C24" s="67" t="str">
        <x:v>YYYY-MM-DD</x:v>
      </x:c>
      <x:c r="D24" s="67" t="str">
        <x:v>Approval/monitoring record.</x:v>
      </x:c>
      <x:c r="E24" s="67" t="str">
        <x:v>Event-driven reassessment may occur earlier.</x:v>
      </x:c>
      <x:c r="F24" s="61"/>
      <x:c r="G24" s="61"/>
      <x:c r="H24" s="61"/>
      <x:c r="I24" s="61"/>
      <x:c r="J24" s="61"/>
      <x:c r="K24" s="61"/>
      <x:c r="L24" s="61"/>
      <x:c r="M24" s="61"/>
      <x:c r="N24" s="61"/>
      <x:c r="O24" s="61"/>
      <x:c r="P24" s="61"/>
      <x:c r="Q24" s="61"/>
      <x:c r="R24" s="61"/>
      <x:c r="S24" s="61"/>
      <x:c r="T24" s="61"/>
      <x:c r="U24" s="61"/>
      <x:c r="V24" s="61"/>
      <x:c r="W24" s="61"/>
      <x:c r="X24" s="61"/>
      <x:c r="Y24" s="61"/>
      <x:c r="Z24" s="61"/>
    </x:row>
    <x:row r="25">
      <x:c r="A25" s="67" t="str">
        <x:v>Evidence Location</x:v>
      </x:c>
      <x:c r="B25" s="67" t="str">
        <x:v>Controlled location for evidence supporting governance claims.</x:v>
      </x:c>
      <x:c r="C25" s="67" t="str">
        <x:v>Repository reference</x:v>
      </x:c>
      <x:c r="D25" s="67" t="str">
        <x:v>Actual evidence location or index.</x:v>
      </x:c>
      <x:c r="E25" s="67" t="str">
        <x:v>If evidence cannot be produced, control claims should be challenged.</x:v>
      </x:c>
      <x:c r="F25" s="61"/>
      <x:c r="G25" s="61"/>
      <x:c r="H25" s="61"/>
      <x:c r="I25" s="61"/>
      <x:c r="J25" s="61"/>
      <x:c r="K25" s="61"/>
      <x:c r="L25" s="61"/>
      <x:c r="M25" s="61"/>
      <x:c r="N25" s="61"/>
      <x:c r="O25" s="61"/>
      <x:c r="P25" s="61"/>
      <x:c r="Q25" s="61"/>
      <x:c r="R25" s="61"/>
      <x:c r="S25" s="61"/>
      <x:c r="T25" s="61"/>
      <x:c r="U25" s="61"/>
      <x:c r="V25" s="61"/>
      <x:c r="W25" s="61"/>
      <x:c r="X25" s="61"/>
      <x:c r="Y25" s="61"/>
      <x:c r="Z25" s="61"/>
    </x:row>
    <x:row r="26">
      <x:c r="A26" s="67" t="str">
        <x:v>Notes / Assumptions</x:v>
      </x:c>
      <x:c r="B26" s="67" t="str">
        <x:v>Material assumptions, limitations, legal-screening notes and evidence confidence.</x:v>
      </x:c>
      <x:c r="C26" s="67" t="str">
        <x:v>Text</x:v>
      </x:c>
      <x:c r="D26" s="67" t="str">
        <x:v>Assumptions register / assessment notes.</x:v>
      </x:c>
      <x:c r="E26" s="67" t="str">
        <x:v>Assumptions are not facts and must be revalidated when material.</x:v>
      </x:c>
      <x:c r="F26" s="61"/>
      <x:c r="G26" s="61"/>
      <x:c r="H26" s="61"/>
      <x:c r="I26" s="61"/>
      <x:c r="J26" s="61"/>
      <x:c r="K26" s="61"/>
      <x:c r="L26" s="61"/>
      <x:c r="M26" s="61"/>
      <x:c r="N26" s="61"/>
      <x:c r="O26" s="61"/>
      <x:c r="P26" s="61"/>
      <x:c r="Q26" s="61"/>
      <x:c r="R26" s="61"/>
      <x:c r="S26" s="61"/>
      <x:c r="T26" s="61"/>
      <x:c r="U26" s="61"/>
      <x:c r="V26" s="61"/>
      <x:c r="W26" s="61"/>
      <x:c r="X26" s="61"/>
      <x:c r="Y26" s="61"/>
      <x:c r="Z26" s="61"/>
    </x:row>
    <x:row r="27">
      <x:c r="A27" s="61"/>
      <x:c r="B27" s="61"/>
      <x:c r="C27" s="61"/>
      <x:c r="D27" s="61"/>
      <x:c r="E27" s="61"/>
      <x:c r="F27" s="61"/>
      <x:c r="G27" s="61"/>
      <x:c r="H27" s="61"/>
      <x:c r="I27" s="61"/>
      <x:c r="J27" s="61"/>
      <x:c r="K27" s="61"/>
      <x:c r="L27" s="61"/>
      <x:c r="M27" s="61"/>
      <x:c r="N27" s="61"/>
      <x:c r="O27" s="61"/>
      <x:c r="P27" s="61"/>
      <x:c r="Q27" s="61"/>
      <x:c r="R27" s="61"/>
      <x:c r="S27" s="61"/>
      <x:c r="T27" s="61"/>
      <x:c r="U27" s="61"/>
      <x:c r="V27" s="61"/>
      <x:c r="W27" s="61"/>
      <x:c r="X27" s="61"/>
      <x:c r="Y27" s="61"/>
      <x:c r="Z27" s="61"/>
    </x:row>
    <x:row r="28">
      <x:c r="A28" s="61"/>
      <x:c r="B28" s="61"/>
      <x:c r="C28" s="61"/>
      <x:c r="D28" s="61"/>
      <x:c r="E28" s="61"/>
      <x:c r="F28" s="61"/>
      <x:c r="G28" s="61"/>
      <x:c r="H28" s="61"/>
      <x:c r="I28" s="61"/>
      <x:c r="J28" s="61"/>
      <x:c r="K28" s="61"/>
      <x:c r="L28" s="61"/>
      <x:c r="M28" s="61"/>
      <x:c r="N28" s="61"/>
      <x:c r="O28" s="61"/>
      <x:c r="P28" s="61"/>
      <x:c r="Q28" s="61"/>
      <x:c r="R28" s="61"/>
      <x:c r="S28" s="61"/>
      <x:c r="T28" s="61"/>
      <x:c r="U28" s="61"/>
      <x:c r="V28" s="61"/>
      <x:c r="W28" s="61"/>
      <x:c r="X28" s="61"/>
      <x:c r="Y28" s="61"/>
      <x:c r="Z28" s="61"/>
    </x:row>
    <x:row r="29">
      <x:c r="A29" s="61"/>
      <x:c r="B29" s="61"/>
      <x:c r="C29" s="61"/>
      <x:c r="D29" s="61"/>
      <x:c r="E29" s="61"/>
      <x:c r="F29" s="61"/>
      <x:c r="G29" s="61"/>
      <x:c r="H29" s="61"/>
      <x:c r="I29" s="61"/>
      <x:c r="J29" s="61"/>
      <x:c r="K29" s="61"/>
      <x:c r="L29" s="61"/>
      <x:c r="M29" s="61"/>
      <x:c r="N29" s="61"/>
      <x:c r="O29" s="61"/>
      <x:c r="P29" s="61"/>
      <x:c r="Q29" s="61"/>
      <x:c r="R29" s="61"/>
      <x:c r="S29" s="61"/>
      <x:c r="T29" s="61"/>
      <x:c r="U29" s="61"/>
      <x:c r="V29" s="61"/>
      <x:c r="W29" s="61"/>
      <x:c r="X29" s="61"/>
      <x:c r="Y29" s="61"/>
      <x:c r="Z29" s="61"/>
    </x:row>
    <x:row r="30">
      <x:c r="A30" s="61"/>
      <x:c r="B30" s="61"/>
      <x:c r="C30" s="61"/>
      <x:c r="D30" s="61"/>
      <x:c r="E30" s="61"/>
      <x:c r="F30" s="61"/>
      <x:c r="G30" s="61"/>
      <x:c r="H30" s="61"/>
      <x:c r="I30" s="61"/>
      <x:c r="J30" s="61"/>
      <x:c r="K30" s="61"/>
      <x:c r="L30" s="61"/>
      <x:c r="M30" s="61"/>
      <x:c r="N30" s="61"/>
      <x:c r="O30" s="61"/>
      <x:c r="P30" s="61"/>
      <x:c r="Q30" s="61"/>
      <x:c r="R30" s="61"/>
      <x:c r="S30" s="61"/>
      <x:c r="T30" s="61"/>
      <x:c r="U30" s="61"/>
      <x:c r="V30" s="61"/>
      <x:c r="W30" s="61"/>
      <x:c r="X30" s="61"/>
      <x:c r="Y30" s="61"/>
      <x:c r="Z30" s="61"/>
    </x:row>
    <x:row r="31">
      <x:c r="A31" s="61"/>
      <x:c r="B31" s="61"/>
      <x:c r="C31" s="61"/>
      <x:c r="D31" s="61"/>
      <x:c r="E31" s="61"/>
      <x:c r="F31" s="61"/>
      <x:c r="G31" s="61"/>
      <x:c r="H31" s="61"/>
      <x:c r="I31" s="61"/>
      <x:c r="J31" s="61"/>
      <x:c r="K31" s="61"/>
      <x:c r="L31" s="61"/>
      <x:c r="M31" s="61"/>
      <x:c r="N31" s="61"/>
      <x:c r="O31" s="61"/>
      <x:c r="P31" s="61"/>
      <x:c r="Q31" s="61"/>
      <x:c r="R31" s="61"/>
      <x:c r="S31" s="61"/>
      <x:c r="T31" s="61"/>
      <x:c r="U31" s="61"/>
      <x:c r="V31" s="61"/>
      <x:c r="W31" s="61"/>
      <x:c r="X31" s="61"/>
      <x:c r="Y31" s="61"/>
      <x:c r="Z31" s="61"/>
    </x:row>
    <x:row r="32">
      <x:c r="A32" s="61"/>
      <x:c r="B32" s="61"/>
      <x:c r="C32" s="61"/>
      <x:c r="D32" s="61"/>
      <x:c r="E32" s="61"/>
      <x:c r="F32" s="61"/>
      <x:c r="G32" s="61"/>
      <x:c r="H32" s="61"/>
      <x:c r="I32" s="61"/>
      <x:c r="J32" s="61"/>
      <x:c r="K32" s="61"/>
      <x:c r="L32" s="61"/>
      <x:c r="M32" s="61"/>
      <x:c r="N32" s="61"/>
      <x:c r="O32" s="61"/>
      <x:c r="P32" s="61"/>
      <x:c r="Q32" s="61"/>
      <x:c r="R32" s="61"/>
      <x:c r="S32" s="61"/>
      <x:c r="T32" s="61"/>
      <x:c r="U32" s="61"/>
      <x:c r="V32" s="61"/>
      <x:c r="W32" s="61"/>
      <x:c r="X32" s="61"/>
      <x:c r="Y32" s="61"/>
      <x:c r="Z32" s="61"/>
    </x:row>
    <x:row r="33">
      <x:c r="A33" s="61"/>
      <x:c r="B33" s="61"/>
      <x:c r="C33" s="61"/>
      <x:c r="D33" s="61"/>
      <x:c r="E33" s="61"/>
      <x:c r="F33" s="61"/>
      <x:c r="G33" s="61"/>
      <x:c r="H33" s="61"/>
      <x:c r="I33" s="61"/>
      <x:c r="J33" s="61"/>
      <x:c r="K33" s="61"/>
      <x:c r="L33" s="61"/>
      <x:c r="M33" s="61"/>
      <x:c r="N33" s="61"/>
      <x:c r="O33" s="61"/>
      <x:c r="P33" s="61"/>
      <x:c r="Q33" s="61"/>
      <x:c r="R33" s="61"/>
      <x:c r="S33" s="61"/>
      <x:c r="T33" s="61"/>
      <x:c r="U33" s="61"/>
      <x:c r="V33" s="61"/>
      <x:c r="W33" s="61"/>
      <x:c r="X33" s="61"/>
      <x:c r="Y33" s="61"/>
      <x:c r="Z33" s="61"/>
    </x:row>
    <x:row r="34">
      <x:c r="A34" s="61"/>
      <x:c r="B34" s="61"/>
      <x:c r="C34" s="61"/>
      <x:c r="D34" s="61"/>
      <x:c r="E34" s="61"/>
      <x:c r="F34" s="61"/>
      <x:c r="G34" s="61"/>
      <x:c r="H34" s="61"/>
      <x:c r="I34" s="61"/>
      <x:c r="J34" s="61"/>
      <x:c r="K34" s="61"/>
      <x:c r="L34" s="61"/>
      <x:c r="M34" s="61"/>
      <x:c r="N34" s="61"/>
      <x:c r="O34" s="61"/>
      <x:c r="P34" s="61"/>
      <x:c r="Q34" s="61"/>
      <x:c r="R34" s="61"/>
      <x:c r="S34" s="61"/>
      <x:c r="T34" s="61"/>
      <x:c r="U34" s="61"/>
      <x:c r="V34" s="61"/>
      <x:c r="W34" s="61"/>
      <x:c r="X34" s="61"/>
      <x:c r="Y34" s="61"/>
      <x:c r="Z34" s="61"/>
    </x:row>
    <x:row r="35">
      <x:c r="A35" s="61"/>
      <x:c r="B35" s="61"/>
      <x:c r="C35" s="61"/>
      <x:c r="D35" s="61"/>
      <x:c r="E35" s="61"/>
      <x:c r="F35" s="61"/>
      <x:c r="G35" s="61"/>
      <x:c r="H35" s="61"/>
      <x:c r="I35" s="61"/>
      <x:c r="J35" s="61"/>
      <x:c r="K35" s="61"/>
      <x:c r="L35" s="61"/>
      <x:c r="M35" s="61"/>
      <x:c r="N35" s="61"/>
      <x:c r="O35" s="61"/>
      <x:c r="P35" s="61"/>
      <x:c r="Q35" s="61"/>
      <x:c r="R35" s="61"/>
      <x:c r="S35" s="61"/>
      <x:c r="T35" s="61"/>
      <x:c r="U35" s="61"/>
      <x:c r="V35" s="61"/>
      <x:c r="W35" s="61"/>
      <x:c r="X35" s="61"/>
      <x:c r="Y35" s="61"/>
      <x:c r="Z35" s="61"/>
    </x:row>
    <x:row r="36">
      <x:c r="A36" s="61"/>
      <x:c r="B36" s="61"/>
      <x:c r="C36" s="61"/>
      <x:c r="D36" s="61"/>
      <x:c r="E36" s="61"/>
      <x:c r="F36" s="61"/>
      <x:c r="G36" s="61"/>
      <x:c r="H36" s="61"/>
      <x:c r="I36" s="61"/>
      <x:c r="J36" s="61"/>
      <x:c r="K36" s="61"/>
      <x:c r="L36" s="61"/>
      <x:c r="M36" s="61"/>
      <x:c r="N36" s="61"/>
      <x:c r="O36" s="61"/>
      <x:c r="P36" s="61"/>
      <x:c r="Q36" s="61"/>
      <x:c r="R36" s="61"/>
      <x:c r="S36" s="61"/>
      <x:c r="T36" s="61"/>
      <x:c r="U36" s="61"/>
      <x:c r="V36" s="61"/>
      <x:c r="W36" s="61"/>
      <x:c r="X36" s="61"/>
      <x:c r="Y36" s="61"/>
      <x:c r="Z36" s="61"/>
    </x:row>
    <x:row r="37">
      <x:c r="A37" s="61"/>
      <x:c r="B37" s="61"/>
      <x:c r="C37" s="61"/>
      <x:c r="D37" s="61"/>
      <x:c r="E37" s="61"/>
      <x:c r="F37" s="61"/>
      <x:c r="G37" s="61"/>
      <x:c r="H37" s="61"/>
      <x:c r="I37" s="61"/>
      <x:c r="J37" s="61"/>
      <x:c r="K37" s="61"/>
      <x:c r="L37" s="61"/>
      <x:c r="M37" s="61"/>
      <x:c r="N37" s="61"/>
      <x:c r="O37" s="61"/>
      <x:c r="P37" s="61"/>
      <x:c r="Q37" s="61"/>
      <x:c r="R37" s="61"/>
      <x:c r="S37" s="61"/>
      <x:c r="T37" s="61"/>
      <x:c r="U37" s="61"/>
      <x:c r="V37" s="61"/>
      <x:c r="W37" s="61"/>
      <x:c r="X37" s="61"/>
      <x:c r="Y37" s="61"/>
      <x:c r="Z37" s="61"/>
    </x:row>
    <x:row r="38">
      <x:c r="A38" s="61"/>
      <x:c r="B38" s="61"/>
      <x:c r="C38" s="61"/>
      <x:c r="D38" s="61"/>
      <x:c r="E38" s="61"/>
      <x:c r="F38" s="61"/>
      <x:c r="G38" s="61"/>
      <x:c r="H38" s="61"/>
      <x:c r="I38" s="61"/>
      <x:c r="J38" s="61"/>
      <x:c r="K38" s="61"/>
      <x:c r="L38" s="61"/>
      <x:c r="M38" s="61"/>
      <x:c r="N38" s="61"/>
      <x:c r="O38" s="61"/>
      <x:c r="P38" s="61"/>
      <x:c r="Q38" s="61"/>
      <x:c r="R38" s="61"/>
      <x:c r="S38" s="61"/>
      <x:c r="T38" s="61"/>
      <x:c r="U38" s="61"/>
      <x:c r="V38" s="61"/>
      <x:c r="W38" s="61"/>
      <x:c r="X38" s="61"/>
      <x:c r="Y38" s="61"/>
      <x:c r="Z38" s="61"/>
    </x:row>
    <x:row r="39">
      <x:c r="A39" s="61"/>
      <x:c r="B39" s="61"/>
      <x:c r="C39" s="61"/>
      <x:c r="D39" s="61"/>
      <x:c r="E39" s="61"/>
      <x:c r="F39" s="61"/>
      <x:c r="G39" s="61"/>
      <x:c r="H39" s="61"/>
      <x:c r="I39" s="61"/>
      <x:c r="J39" s="61"/>
      <x:c r="K39" s="61"/>
      <x:c r="L39" s="61"/>
      <x:c r="M39" s="61"/>
      <x:c r="N39" s="61"/>
      <x:c r="O39" s="61"/>
      <x:c r="P39" s="61"/>
      <x:c r="Q39" s="61"/>
      <x:c r="R39" s="61"/>
      <x:c r="S39" s="61"/>
      <x:c r="T39" s="61"/>
      <x:c r="U39" s="61"/>
      <x:c r="V39" s="61"/>
      <x:c r="W39" s="61"/>
      <x:c r="X39" s="61"/>
      <x:c r="Y39" s="61"/>
      <x:c r="Z39" s="61"/>
    </x:row>
    <x:row r="40">
      <x:c r="A40" s="61"/>
      <x:c r="B40" s="61"/>
      <x:c r="C40" s="61"/>
      <x:c r="D40" s="61"/>
      <x:c r="E40" s="61"/>
      <x:c r="F40" s="61"/>
      <x:c r="G40" s="61"/>
      <x:c r="H40" s="61"/>
      <x:c r="I40" s="61"/>
      <x:c r="J40" s="61"/>
      <x:c r="K40" s="61"/>
      <x:c r="L40" s="61"/>
      <x:c r="M40" s="61"/>
      <x:c r="N40" s="61"/>
      <x:c r="O40" s="61"/>
      <x:c r="P40" s="61"/>
      <x:c r="Q40" s="61"/>
      <x:c r="R40" s="61"/>
      <x:c r="S40" s="61"/>
      <x:c r="T40" s="61"/>
      <x:c r="U40" s="61"/>
      <x:c r="V40" s="61"/>
      <x:c r="W40" s="61"/>
      <x:c r="X40" s="61"/>
      <x:c r="Y40" s="61"/>
      <x:c r="Z40" s="61"/>
    </x:row>
    <x:row r="41">
      <x:c r="A41" s="61"/>
      <x:c r="B41" s="61"/>
      <x:c r="C41" s="61"/>
      <x:c r="D41" s="61"/>
      <x:c r="E41" s="61"/>
      <x:c r="F41" s="61"/>
      <x:c r="G41" s="61"/>
      <x:c r="H41" s="61"/>
      <x:c r="I41" s="61"/>
      <x:c r="J41" s="61"/>
      <x:c r="K41" s="61"/>
      <x:c r="L41" s="61"/>
      <x:c r="M41" s="61"/>
      <x:c r="N41" s="61"/>
      <x:c r="O41" s="61"/>
      <x:c r="P41" s="61"/>
      <x:c r="Q41" s="61"/>
      <x:c r="R41" s="61"/>
      <x:c r="S41" s="61"/>
      <x:c r="T41" s="61"/>
      <x:c r="U41" s="61"/>
      <x:c r="V41" s="61"/>
      <x:c r="W41" s="61"/>
      <x:c r="X41" s="61"/>
      <x:c r="Y41" s="61"/>
      <x:c r="Z41" s="61"/>
    </x:row>
    <x:row r="42">
      <x:c r="A42" s="61"/>
      <x:c r="B42" s="61"/>
      <x:c r="C42" s="61"/>
      <x:c r="D42" s="61"/>
      <x:c r="E42" s="61"/>
      <x:c r="F42" s="61"/>
      <x:c r="G42" s="61"/>
      <x:c r="H42" s="61"/>
      <x:c r="I42" s="61"/>
      <x:c r="J42" s="61"/>
      <x:c r="K42" s="61"/>
      <x:c r="L42" s="61"/>
      <x:c r="M42" s="61"/>
      <x:c r="N42" s="61"/>
      <x:c r="O42" s="61"/>
      <x:c r="P42" s="61"/>
      <x:c r="Q42" s="61"/>
      <x:c r="R42" s="61"/>
      <x:c r="S42" s="61"/>
      <x:c r="T42" s="61"/>
      <x:c r="U42" s="61"/>
      <x:c r="V42" s="61"/>
      <x:c r="W42" s="61"/>
      <x:c r="X42" s="61"/>
      <x:c r="Y42" s="61"/>
      <x:c r="Z42" s="61"/>
    </x:row>
    <x:row r="43">
      <x:c r="A43" s="61"/>
      <x:c r="B43" s="61"/>
      <x:c r="C43" s="61"/>
      <x:c r="D43" s="61"/>
      <x:c r="E43" s="61"/>
      <x:c r="F43" s="61"/>
      <x:c r="G43" s="61"/>
      <x:c r="H43" s="61"/>
      <x:c r="I43" s="61"/>
      <x:c r="J43" s="61"/>
      <x:c r="K43" s="61"/>
      <x:c r="L43" s="61"/>
      <x:c r="M43" s="61"/>
      <x:c r="N43" s="61"/>
      <x:c r="O43" s="61"/>
      <x:c r="P43" s="61"/>
      <x:c r="Q43" s="61"/>
      <x:c r="R43" s="61"/>
      <x:c r="S43" s="61"/>
      <x:c r="T43" s="61"/>
      <x:c r="U43" s="61"/>
      <x:c r="V43" s="61"/>
      <x:c r="W43" s="61"/>
      <x:c r="X43" s="61"/>
      <x:c r="Y43" s="61"/>
      <x:c r="Z43" s="61"/>
    </x:row>
    <x:row r="44">
      <x:c r="A44" s="61"/>
      <x:c r="B44" s="61"/>
      <x:c r="C44" s="61"/>
      <x:c r="D44" s="61"/>
      <x:c r="E44" s="61"/>
      <x:c r="F44" s="61"/>
      <x:c r="G44" s="61"/>
      <x:c r="H44" s="61"/>
      <x:c r="I44" s="61"/>
      <x:c r="J44" s="61"/>
      <x:c r="K44" s="61"/>
      <x:c r="L44" s="61"/>
      <x:c r="M44" s="61"/>
      <x:c r="N44" s="61"/>
      <x:c r="O44" s="61"/>
      <x:c r="P44" s="61"/>
      <x:c r="Q44" s="61"/>
      <x:c r="R44" s="61"/>
      <x:c r="S44" s="61"/>
      <x:c r="T44" s="61"/>
      <x:c r="U44" s="61"/>
      <x:c r="V44" s="61"/>
      <x:c r="W44" s="61"/>
      <x:c r="X44" s="61"/>
      <x:c r="Y44" s="61"/>
      <x:c r="Z44" s="61"/>
    </x:row>
    <x:row r="45">
      <x:c r="A45" s="61"/>
      <x:c r="B45" s="61"/>
      <x:c r="C45" s="61"/>
      <x:c r="D45" s="61"/>
      <x:c r="E45" s="61"/>
      <x:c r="F45" s="61"/>
      <x:c r="G45" s="61"/>
      <x:c r="H45" s="61"/>
      <x:c r="I45" s="61"/>
      <x:c r="J45" s="61"/>
      <x:c r="K45" s="61"/>
      <x:c r="L45" s="61"/>
      <x:c r="M45" s="61"/>
      <x:c r="N45" s="61"/>
      <x:c r="O45" s="61"/>
      <x:c r="P45" s="61"/>
      <x:c r="Q45" s="61"/>
      <x:c r="R45" s="61"/>
      <x:c r="S45" s="61"/>
      <x:c r="T45" s="61"/>
      <x:c r="U45" s="61"/>
      <x:c r="V45" s="61"/>
      <x:c r="W45" s="61"/>
      <x:c r="X45" s="61"/>
      <x:c r="Y45" s="61"/>
      <x:c r="Z45" s="61"/>
    </x:row>
    <x:row r="46">
      <x:c r="A46" s="61"/>
      <x:c r="B46" s="61"/>
      <x:c r="C46" s="61"/>
      <x:c r="D46" s="61"/>
      <x:c r="E46" s="61"/>
      <x:c r="F46" s="61"/>
      <x:c r="G46" s="61"/>
      <x:c r="H46" s="61"/>
      <x:c r="I46" s="61"/>
      <x:c r="J46" s="61"/>
      <x:c r="K46" s="61"/>
      <x:c r="L46" s="61"/>
      <x:c r="M46" s="61"/>
      <x:c r="N46" s="61"/>
      <x:c r="O46" s="61"/>
      <x:c r="P46" s="61"/>
      <x:c r="Q46" s="61"/>
      <x:c r="R46" s="61"/>
      <x:c r="S46" s="61"/>
      <x:c r="T46" s="61"/>
      <x:c r="U46" s="61"/>
      <x:c r="V46" s="61"/>
      <x:c r="W46" s="61"/>
      <x:c r="X46" s="61"/>
      <x:c r="Y46" s="61"/>
      <x:c r="Z46" s="61"/>
    </x:row>
    <x:row r="47">
      <x:c r="A47" s="61"/>
      <x:c r="B47" s="61"/>
      <x:c r="C47" s="61"/>
      <x:c r="D47" s="61"/>
      <x:c r="E47" s="61"/>
      <x:c r="F47" s="61"/>
      <x:c r="G47" s="61"/>
      <x:c r="H47" s="61"/>
      <x:c r="I47" s="61"/>
      <x:c r="J47" s="61"/>
      <x:c r="K47" s="61"/>
      <x:c r="L47" s="61"/>
      <x:c r="M47" s="61"/>
      <x:c r="N47" s="61"/>
      <x:c r="O47" s="61"/>
      <x:c r="P47" s="61"/>
      <x:c r="Q47" s="61"/>
      <x:c r="R47" s="61"/>
      <x:c r="S47" s="61"/>
      <x:c r="T47" s="61"/>
      <x:c r="U47" s="61"/>
      <x:c r="V47" s="61"/>
      <x:c r="W47" s="61"/>
      <x:c r="X47" s="61"/>
      <x:c r="Y47" s="61"/>
      <x:c r="Z47" s="61"/>
    </x:row>
    <x:row r="48">
      <x:c r="A48" s="61"/>
      <x:c r="B48" s="61"/>
      <x:c r="C48" s="61"/>
      <x:c r="D48" s="61"/>
      <x:c r="E48" s="61"/>
      <x:c r="F48" s="61"/>
      <x:c r="G48" s="61"/>
      <x:c r="H48" s="61"/>
      <x:c r="I48" s="61"/>
      <x:c r="J48" s="61"/>
      <x:c r="K48" s="61"/>
      <x:c r="L48" s="61"/>
      <x:c r="M48" s="61"/>
      <x:c r="N48" s="61"/>
      <x:c r="O48" s="61"/>
      <x:c r="P48" s="61"/>
      <x:c r="Q48" s="61"/>
      <x:c r="R48" s="61"/>
      <x:c r="S48" s="61"/>
      <x:c r="T48" s="61"/>
      <x:c r="U48" s="61"/>
      <x:c r="V48" s="61"/>
      <x:c r="W48" s="61"/>
      <x:c r="X48" s="61"/>
      <x:c r="Y48" s="61"/>
      <x:c r="Z48" s="61"/>
    </x:row>
    <x:row r="49">
      <x:c r="A49" s="61"/>
      <x:c r="B49" s="61"/>
      <x:c r="C49" s="61"/>
      <x:c r="D49" s="61"/>
      <x:c r="E49" s="61"/>
      <x:c r="F49" s="61"/>
      <x:c r="G49" s="61"/>
      <x:c r="H49" s="61"/>
      <x:c r="I49" s="61"/>
      <x:c r="J49" s="61"/>
      <x:c r="K49" s="61"/>
      <x:c r="L49" s="61"/>
      <x:c r="M49" s="61"/>
      <x:c r="N49" s="61"/>
      <x:c r="O49" s="61"/>
      <x:c r="P49" s="61"/>
      <x:c r="Q49" s="61"/>
      <x:c r="R49" s="61"/>
      <x:c r="S49" s="61"/>
      <x:c r="T49" s="61"/>
      <x:c r="U49" s="61"/>
      <x:c r="V49" s="61"/>
      <x:c r="W49" s="61"/>
      <x:c r="X49" s="61"/>
      <x:c r="Y49" s="61"/>
      <x:c r="Z49" s="61"/>
    </x:row>
    <x:row r="50">
      <x:c r="A50" s="61"/>
      <x:c r="B50" s="61"/>
      <x:c r="C50" s="61"/>
      <x:c r="D50" s="61"/>
      <x:c r="E50" s="61"/>
      <x:c r="F50" s="61"/>
      <x:c r="G50" s="61"/>
      <x:c r="H50" s="61"/>
      <x:c r="I50" s="61"/>
      <x:c r="J50" s="61"/>
      <x:c r="K50" s="61"/>
      <x:c r="L50" s="61"/>
      <x:c r="M50" s="61"/>
      <x:c r="N50" s="61"/>
      <x:c r="O50" s="61"/>
      <x:c r="P50" s="61"/>
      <x:c r="Q50" s="61"/>
      <x:c r="R50" s="61"/>
      <x:c r="S50" s="61"/>
      <x:c r="T50" s="61"/>
      <x:c r="U50" s="61"/>
      <x:c r="V50" s="61"/>
      <x:c r="W50" s="61"/>
      <x:c r="X50" s="61"/>
      <x:c r="Y50" s="61"/>
      <x:c r="Z50" s="61"/>
    </x:row>
    <x:row r="51">
      <x:c r="A51" s="61"/>
      <x:c r="B51" s="61"/>
      <x:c r="C51" s="61"/>
      <x:c r="D51" s="61"/>
      <x:c r="E51" s="61"/>
      <x:c r="F51" s="61"/>
      <x:c r="G51" s="61"/>
      <x:c r="H51" s="61"/>
      <x:c r="I51" s="61"/>
      <x:c r="J51" s="61"/>
      <x:c r="K51" s="61"/>
      <x:c r="L51" s="61"/>
      <x:c r="M51" s="61"/>
      <x:c r="N51" s="61"/>
      <x:c r="O51" s="61"/>
      <x:c r="P51" s="61"/>
      <x:c r="Q51" s="61"/>
      <x:c r="R51" s="61"/>
      <x:c r="S51" s="61"/>
      <x:c r="T51" s="61"/>
      <x:c r="U51" s="61"/>
      <x:c r="V51" s="61"/>
      <x:c r="W51" s="61"/>
      <x:c r="X51" s="61"/>
      <x:c r="Y51" s="61"/>
      <x:c r="Z51" s="61"/>
    </x:row>
    <x:row r="52">
      <x:c r="A52" s="61"/>
      <x:c r="B52" s="61"/>
      <x:c r="C52" s="61"/>
      <x:c r="D52" s="61"/>
      <x:c r="E52" s="61"/>
      <x:c r="F52" s="61"/>
      <x:c r="G52" s="61"/>
      <x:c r="H52" s="61"/>
      <x:c r="I52" s="61"/>
      <x:c r="J52" s="61"/>
      <x:c r="K52" s="61"/>
      <x:c r="L52" s="61"/>
      <x:c r="M52" s="61"/>
      <x:c r="N52" s="61"/>
      <x:c r="O52" s="61"/>
      <x:c r="P52" s="61"/>
      <x:c r="Q52" s="61"/>
      <x:c r="R52" s="61"/>
      <x:c r="S52" s="61"/>
      <x:c r="T52" s="61"/>
      <x:c r="U52" s="61"/>
      <x:c r="V52" s="61"/>
      <x:c r="W52" s="61"/>
      <x:c r="X52" s="61"/>
      <x:c r="Y52" s="61"/>
      <x:c r="Z52" s="61"/>
    </x:row>
    <x:row r="53">
      <x:c r="A53" s="61"/>
      <x:c r="B53" s="61"/>
      <x:c r="C53" s="61"/>
      <x:c r="D53" s="61"/>
      <x:c r="E53" s="61"/>
      <x:c r="F53" s="61"/>
      <x:c r="G53" s="61"/>
      <x:c r="H53" s="61"/>
      <x:c r="I53" s="61"/>
      <x:c r="J53" s="61"/>
      <x:c r="K53" s="61"/>
      <x:c r="L53" s="61"/>
      <x:c r="M53" s="61"/>
      <x:c r="N53" s="61"/>
      <x:c r="O53" s="61"/>
      <x:c r="P53" s="61"/>
      <x:c r="Q53" s="61"/>
      <x:c r="R53" s="61"/>
      <x:c r="S53" s="61"/>
      <x:c r="T53" s="61"/>
      <x:c r="U53" s="61"/>
      <x:c r="V53" s="61"/>
      <x:c r="W53" s="61"/>
      <x:c r="X53" s="61"/>
      <x:c r="Y53" s="61"/>
      <x:c r="Z53" s="61"/>
    </x:row>
    <x:row r="54">
      <x:c r="A54" s="61"/>
      <x:c r="B54" s="61"/>
      <x:c r="C54" s="61"/>
      <x:c r="D54" s="61"/>
      <x:c r="E54" s="61"/>
      <x:c r="F54" s="61"/>
      <x:c r="G54" s="61"/>
      <x:c r="H54" s="61"/>
      <x:c r="I54" s="61"/>
      <x:c r="J54" s="61"/>
      <x:c r="K54" s="61"/>
      <x:c r="L54" s="61"/>
      <x:c r="M54" s="61"/>
      <x:c r="N54" s="61"/>
      <x:c r="O54" s="61"/>
      <x:c r="P54" s="61"/>
      <x:c r="Q54" s="61"/>
      <x:c r="R54" s="61"/>
      <x:c r="S54" s="61"/>
      <x:c r="T54" s="61"/>
      <x:c r="U54" s="61"/>
      <x:c r="V54" s="61"/>
      <x:c r="W54" s="61"/>
      <x:c r="X54" s="61"/>
      <x:c r="Y54" s="61"/>
      <x:c r="Z54" s="61"/>
    </x:row>
    <x:row r="55">
      <x:c r="A55" s="61"/>
      <x:c r="B55" s="61"/>
      <x:c r="C55" s="61"/>
      <x:c r="D55" s="61"/>
      <x:c r="E55" s="61"/>
      <x:c r="F55" s="61"/>
      <x:c r="G55" s="61"/>
      <x:c r="H55" s="61"/>
      <x:c r="I55" s="61"/>
      <x:c r="J55" s="61"/>
      <x:c r="K55" s="61"/>
      <x:c r="L55" s="61"/>
      <x:c r="M55" s="61"/>
      <x:c r="N55" s="61"/>
      <x:c r="O55" s="61"/>
      <x:c r="P55" s="61"/>
      <x:c r="Q55" s="61"/>
      <x:c r="R55" s="61"/>
      <x:c r="S55" s="61"/>
      <x:c r="T55" s="61"/>
      <x:c r="U55" s="61"/>
      <x:c r="V55" s="61"/>
      <x:c r="W55" s="61"/>
      <x:c r="X55" s="61"/>
      <x:c r="Y55" s="61"/>
      <x:c r="Z55" s="61"/>
    </x:row>
    <x:row r="56">
      <x:c r="A56" s="61"/>
      <x:c r="B56" s="61"/>
      <x:c r="C56" s="61"/>
      <x:c r="D56" s="61"/>
      <x:c r="E56" s="61"/>
      <x:c r="F56" s="61"/>
      <x:c r="G56" s="61"/>
      <x:c r="H56" s="61"/>
      <x:c r="I56" s="61"/>
      <x:c r="J56" s="61"/>
      <x:c r="K56" s="61"/>
      <x:c r="L56" s="61"/>
      <x:c r="M56" s="61"/>
      <x:c r="N56" s="61"/>
      <x:c r="O56" s="61"/>
      <x:c r="P56" s="61"/>
      <x:c r="Q56" s="61"/>
      <x:c r="R56" s="61"/>
      <x:c r="S56" s="61"/>
      <x:c r="T56" s="61"/>
      <x:c r="U56" s="61"/>
      <x:c r="V56" s="61"/>
      <x:c r="W56" s="61"/>
      <x:c r="X56" s="61"/>
      <x:c r="Y56" s="61"/>
      <x:c r="Z56" s="61"/>
    </x:row>
    <x:row r="57">
      <x:c r="A57" s="61"/>
      <x:c r="B57" s="61"/>
      <x:c r="C57" s="61"/>
      <x:c r="D57" s="61"/>
      <x:c r="E57" s="61"/>
      <x:c r="F57" s="61"/>
      <x:c r="G57" s="61"/>
      <x:c r="H57" s="61"/>
      <x:c r="I57" s="61"/>
      <x:c r="J57" s="61"/>
      <x:c r="K57" s="61"/>
      <x:c r="L57" s="61"/>
      <x:c r="M57" s="61"/>
      <x:c r="N57" s="61"/>
      <x:c r="O57" s="61"/>
      <x:c r="P57" s="61"/>
      <x:c r="Q57" s="61"/>
      <x:c r="R57" s="61"/>
      <x:c r="S57" s="61"/>
      <x:c r="T57" s="61"/>
      <x:c r="U57" s="61"/>
      <x:c r="V57" s="61"/>
      <x:c r="W57" s="61"/>
      <x:c r="X57" s="61"/>
      <x:c r="Y57" s="61"/>
      <x:c r="Z57" s="61"/>
    </x:row>
    <x:row r="58">
      <x:c r="A58" s="61"/>
      <x:c r="B58" s="61"/>
      <x:c r="C58" s="61"/>
      <x:c r="D58" s="61"/>
      <x:c r="E58" s="61"/>
      <x:c r="F58" s="61"/>
      <x:c r="G58" s="61"/>
      <x:c r="H58" s="61"/>
      <x:c r="I58" s="61"/>
      <x:c r="J58" s="61"/>
      <x:c r="K58" s="61"/>
      <x:c r="L58" s="61"/>
      <x:c r="M58" s="61"/>
      <x:c r="N58" s="61"/>
      <x:c r="O58" s="61"/>
      <x:c r="P58" s="61"/>
      <x:c r="Q58" s="61"/>
      <x:c r="R58" s="61"/>
      <x:c r="S58" s="61"/>
      <x:c r="T58" s="61"/>
      <x:c r="U58" s="61"/>
      <x:c r="V58" s="61"/>
      <x:c r="W58" s="61"/>
      <x:c r="X58" s="61"/>
      <x:c r="Y58" s="61"/>
      <x:c r="Z58" s="61"/>
    </x:row>
    <x:row r="59">
      <x:c r="A59" s="61"/>
      <x:c r="B59" s="61"/>
      <x:c r="C59" s="61"/>
      <x:c r="D59" s="61"/>
      <x:c r="E59" s="61"/>
      <x:c r="F59" s="61"/>
      <x:c r="G59" s="61"/>
      <x:c r="H59" s="61"/>
      <x:c r="I59" s="61"/>
      <x:c r="J59" s="61"/>
      <x:c r="K59" s="61"/>
      <x:c r="L59" s="61"/>
      <x:c r="M59" s="61"/>
      <x:c r="N59" s="61"/>
      <x:c r="O59" s="61"/>
      <x:c r="P59" s="61"/>
      <x:c r="Q59" s="61"/>
      <x:c r="R59" s="61"/>
      <x:c r="S59" s="61"/>
      <x:c r="T59" s="61"/>
      <x:c r="U59" s="61"/>
      <x:c r="V59" s="61"/>
      <x:c r="W59" s="61"/>
      <x:c r="X59" s="61"/>
      <x:c r="Y59" s="61"/>
      <x:c r="Z59" s="61"/>
    </x:row>
    <x:row r="60">
      <x:c r="A60" s="61"/>
      <x:c r="B60" s="61"/>
      <x:c r="C60" s="61"/>
      <x:c r="D60" s="61"/>
      <x:c r="E60" s="61"/>
      <x:c r="F60" s="61"/>
      <x:c r="G60" s="61"/>
      <x:c r="H60" s="61"/>
      <x:c r="I60" s="61"/>
      <x:c r="J60" s="61"/>
      <x:c r="K60" s="61"/>
      <x:c r="L60" s="61"/>
      <x:c r="M60" s="61"/>
      <x:c r="N60" s="61"/>
      <x:c r="O60" s="61"/>
      <x:c r="P60" s="61"/>
      <x:c r="Q60" s="61"/>
      <x:c r="R60" s="61"/>
      <x:c r="S60" s="61"/>
      <x:c r="T60" s="61"/>
      <x:c r="U60" s="61"/>
      <x:c r="V60" s="61"/>
      <x:c r="W60" s="61"/>
      <x:c r="X60" s="61"/>
      <x:c r="Y60" s="61"/>
      <x:c r="Z60" s="61"/>
    </x:row>
    <x:row r="61">
      <x:c r="A61" s="61"/>
      <x:c r="B61" s="61"/>
      <x:c r="C61" s="61"/>
      <x:c r="D61" s="61"/>
      <x:c r="E61" s="61"/>
      <x:c r="F61" s="61"/>
      <x:c r="G61" s="61"/>
      <x:c r="H61" s="61"/>
      <x:c r="I61" s="61"/>
      <x:c r="J61" s="61"/>
      <x:c r="K61" s="61"/>
      <x:c r="L61" s="61"/>
      <x:c r="M61" s="61"/>
      <x:c r="N61" s="61"/>
      <x:c r="O61" s="61"/>
      <x:c r="P61" s="61"/>
      <x:c r="Q61" s="61"/>
      <x:c r="R61" s="61"/>
      <x:c r="S61" s="61"/>
      <x:c r="T61" s="61"/>
      <x:c r="U61" s="61"/>
      <x:c r="V61" s="61"/>
      <x:c r="W61" s="61"/>
      <x:c r="X61" s="61"/>
      <x:c r="Y61" s="61"/>
      <x:c r="Z61" s="61"/>
    </x:row>
    <x:row r="62">
      <x:c r="A62" s="61"/>
      <x:c r="B62" s="61"/>
      <x:c r="C62" s="61"/>
      <x:c r="D62" s="61"/>
      <x:c r="E62" s="61"/>
      <x:c r="F62" s="61"/>
      <x:c r="G62" s="61"/>
      <x:c r="H62" s="61"/>
      <x:c r="I62" s="61"/>
      <x:c r="J62" s="61"/>
      <x:c r="K62" s="61"/>
      <x:c r="L62" s="61"/>
      <x:c r="M62" s="61"/>
      <x:c r="N62" s="61"/>
      <x:c r="O62" s="61"/>
      <x:c r="P62" s="61"/>
      <x:c r="Q62" s="61"/>
      <x:c r="R62" s="61"/>
      <x:c r="S62" s="61"/>
      <x:c r="T62" s="61"/>
      <x:c r="U62" s="61"/>
      <x:c r="V62" s="61"/>
      <x:c r="W62" s="61"/>
      <x:c r="X62" s="61"/>
      <x:c r="Y62" s="61"/>
      <x:c r="Z62" s="61"/>
    </x:row>
    <x:row r="63">
      <x:c r="A63" s="61"/>
      <x:c r="B63" s="61"/>
      <x:c r="C63" s="61"/>
      <x:c r="D63" s="61"/>
      <x:c r="E63" s="61"/>
      <x:c r="F63" s="61"/>
      <x:c r="G63" s="61"/>
      <x:c r="H63" s="61"/>
      <x:c r="I63" s="61"/>
      <x:c r="J63" s="61"/>
      <x:c r="K63" s="61"/>
      <x:c r="L63" s="61"/>
      <x:c r="M63" s="61"/>
      <x:c r="N63" s="61"/>
      <x:c r="O63" s="61"/>
      <x:c r="P63" s="61"/>
      <x:c r="Q63" s="61"/>
      <x:c r="R63" s="61"/>
      <x:c r="S63" s="61"/>
      <x:c r="T63" s="61"/>
      <x:c r="U63" s="61"/>
      <x:c r="V63" s="61"/>
      <x:c r="W63" s="61"/>
      <x:c r="X63" s="61"/>
      <x:c r="Y63" s="61"/>
      <x:c r="Z63" s="61"/>
    </x:row>
    <x:row r="64">
      <x:c r="A64" s="61"/>
      <x:c r="B64" s="61"/>
      <x:c r="C64" s="61"/>
      <x:c r="D64" s="61"/>
      <x:c r="E64" s="61"/>
      <x:c r="F64" s="61"/>
      <x:c r="G64" s="61"/>
      <x:c r="H64" s="61"/>
      <x:c r="I64" s="61"/>
      <x:c r="J64" s="61"/>
      <x:c r="K64" s="61"/>
      <x:c r="L64" s="61"/>
      <x:c r="M64" s="61"/>
      <x:c r="N64" s="61"/>
      <x:c r="O64" s="61"/>
      <x:c r="P64" s="61"/>
      <x:c r="Q64" s="61"/>
      <x:c r="R64" s="61"/>
      <x:c r="S64" s="61"/>
      <x:c r="T64" s="61"/>
      <x:c r="U64" s="61"/>
      <x:c r="V64" s="61"/>
      <x:c r="W64" s="61"/>
      <x:c r="X64" s="61"/>
      <x:c r="Y64" s="61"/>
      <x:c r="Z64" s="61"/>
    </x:row>
    <x:row r="65">
      <x:c r="A65" s="61"/>
      <x:c r="B65" s="61"/>
      <x:c r="C65" s="61"/>
      <x:c r="D65" s="61"/>
      <x:c r="E65" s="61"/>
      <x:c r="F65" s="61"/>
      <x:c r="G65" s="61"/>
      <x:c r="H65" s="61"/>
      <x:c r="I65" s="61"/>
      <x:c r="J65" s="61"/>
      <x:c r="K65" s="61"/>
      <x:c r="L65" s="61"/>
      <x:c r="M65" s="61"/>
      <x:c r="N65" s="61"/>
      <x:c r="O65" s="61"/>
      <x:c r="P65" s="61"/>
      <x:c r="Q65" s="61"/>
      <x:c r="R65" s="61"/>
      <x:c r="S65" s="61"/>
      <x:c r="T65" s="61"/>
      <x:c r="U65" s="61"/>
      <x:c r="V65" s="61"/>
      <x:c r="W65" s="61"/>
      <x:c r="X65" s="61"/>
      <x:c r="Y65" s="61"/>
      <x:c r="Z65" s="61"/>
    </x:row>
    <x:row r="66">
      <x:c r="A66" s="61"/>
      <x:c r="B66" s="61"/>
      <x:c r="C66" s="61"/>
      <x:c r="D66" s="61"/>
      <x:c r="E66" s="61"/>
      <x:c r="F66" s="61"/>
      <x:c r="G66" s="61"/>
      <x:c r="H66" s="61"/>
      <x:c r="I66" s="61"/>
      <x:c r="J66" s="61"/>
      <x:c r="K66" s="61"/>
      <x:c r="L66" s="61"/>
      <x:c r="M66" s="61"/>
      <x:c r="N66" s="61"/>
      <x:c r="O66" s="61"/>
      <x:c r="P66" s="61"/>
      <x:c r="Q66" s="61"/>
      <x:c r="R66" s="61"/>
      <x:c r="S66" s="61"/>
      <x:c r="T66" s="61"/>
      <x:c r="U66" s="61"/>
      <x:c r="V66" s="61"/>
      <x:c r="W66" s="61"/>
      <x:c r="X66" s="61"/>
      <x:c r="Y66" s="61"/>
      <x:c r="Z66" s="61"/>
    </x:row>
    <x:row r="67">
      <x:c r="A67" s="61"/>
      <x:c r="B67" s="61"/>
      <x:c r="C67" s="61"/>
      <x:c r="D67" s="61"/>
      <x:c r="E67" s="61"/>
      <x:c r="F67" s="61"/>
      <x:c r="G67" s="61"/>
      <x:c r="H67" s="61"/>
      <x:c r="I67" s="61"/>
      <x:c r="J67" s="61"/>
      <x:c r="K67" s="61"/>
      <x:c r="L67" s="61"/>
      <x:c r="M67" s="61"/>
      <x:c r="N67" s="61"/>
      <x:c r="O67" s="61"/>
      <x:c r="P67" s="61"/>
      <x:c r="Q67" s="61"/>
      <x:c r="R67" s="61"/>
      <x:c r="S67" s="61"/>
      <x:c r="T67" s="61"/>
      <x:c r="U67" s="61"/>
      <x:c r="V67" s="61"/>
      <x:c r="W67" s="61"/>
      <x:c r="X67" s="61"/>
      <x:c r="Y67" s="61"/>
      <x:c r="Z67" s="61"/>
    </x:row>
    <x:row r="68">
      <x:c r="A68" s="61"/>
      <x:c r="B68" s="61"/>
      <x:c r="C68" s="61"/>
      <x:c r="D68" s="61"/>
      <x:c r="E68" s="61"/>
      <x:c r="F68" s="61"/>
      <x:c r="G68" s="61"/>
      <x:c r="H68" s="61"/>
      <x:c r="I68" s="61"/>
      <x:c r="J68" s="61"/>
      <x:c r="K68" s="61"/>
      <x:c r="L68" s="61"/>
      <x:c r="M68" s="61"/>
      <x:c r="N68" s="61"/>
      <x:c r="O68" s="61"/>
      <x:c r="P68" s="61"/>
      <x:c r="Q68" s="61"/>
      <x:c r="R68" s="61"/>
      <x:c r="S68" s="61"/>
      <x:c r="T68" s="61"/>
      <x:c r="U68" s="61"/>
      <x:c r="V68" s="61"/>
      <x:c r="W68" s="61"/>
      <x:c r="X68" s="61"/>
      <x:c r="Y68" s="61"/>
      <x:c r="Z68" s="61"/>
    </x:row>
    <x:row r="69">
      <x:c r="A69" s="61"/>
      <x:c r="B69" s="61"/>
      <x:c r="C69" s="61"/>
      <x:c r="D69" s="61"/>
      <x:c r="E69" s="61"/>
      <x:c r="F69" s="61"/>
      <x:c r="G69" s="61"/>
      <x:c r="H69" s="61"/>
      <x:c r="I69" s="61"/>
      <x:c r="J69" s="61"/>
      <x:c r="K69" s="61"/>
      <x:c r="L69" s="61"/>
      <x:c r="M69" s="61"/>
      <x:c r="N69" s="61"/>
      <x:c r="O69" s="61"/>
      <x:c r="P69" s="61"/>
      <x:c r="Q69" s="61"/>
      <x:c r="R69" s="61"/>
      <x:c r="S69" s="61"/>
      <x:c r="T69" s="61"/>
      <x:c r="U69" s="61"/>
      <x:c r="V69" s="61"/>
      <x:c r="W69" s="61"/>
      <x:c r="X69" s="61"/>
      <x:c r="Y69" s="61"/>
      <x:c r="Z69" s="61"/>
    </x:row>
    <x:row r="70">
      <x:c r="A70" s="61"/>
      <x:c r="B70" s="61"/>
      <x:c r="C70" s="61"/>
      <x:c r="D70" s="61"/>
      <x:c r="E70" s="61"/>
      <x:c r="F70" s="61"/>
      <x:c r="G70" s="61"/>
      <x:c r="H70" s="61"/>
      <x:c r="I70" s="61"/>
      <x:c r="J70" s="61"/>
      <x:c r="K70" s="61"/>
      <x:c r="L70" s="61"/>
      <x:c r="M70" s="61"/>
      <x:c r="N70" s="61"/>
      <x:c r="O70" s="61"/>
      <x:c r="P70" s="61"/>
      <x:c r="Q70" s="61"/>
      <x:c r="R70" s="61"/>
      <x:c r="S70" s="61"/>
      <x:c r="T70" s="61"/>
      <x:c r="U70" s="61"/>
      <x:c r="V70" s="61"/>
      <x:c r="W70" s="61"/>
      <x:c r="X70" s="61"/>
      <x:c r="Y70" s="61"/>
      <x:c r="Z70" s="61"/>
    </x:row>
    <x:row r="71">
      <x:c r="A71" s="61"/>
      <x:c r="B71" s="61"/>
      <x:c r="C71" s="61"/>
      <x:c r="D71" s="61"/>
      <x:c r="E71" s="61"/>
      <x:c r="F71" s="61"/>
      <x:c r="G71" s="61"/>
      <x:c r="H71" s="61"/>
      <x:c r="I71" s="61"/>
      <x:c r="J71" s="61"/>
      <x:c r="K71" s="61"/>
      <x:c r="L71" s="61"/>
      <x:c r="M71" s="61"/>
      <x:c r="N71" s="61"/>
      <x:c r="O71" s="61"/>
      <x:c r="P71" s="61"/>
      <x:c r="Q71" s="61"/>
      <x:c r="R71" s="61"/>
      <x:c r="S71" s="61"/>
      <x:c r="T71" s="61"/>
      <x:c r="U71" s="61"/>
      <x:c r="V71" s="61"/>
      <x:c r="W71" s="61"/>
      <x:c r="X71" s="61"/>
      <x:c r="Y71" s="61"/>
      <x:c r="Z71" s="61"/>
    </x:row>
    <x:row r="72">
      <x:c r="A72" s="61"/>
      <x:c r="B72" s="61"/>
      <x:c r="C72" s="61"/>
      <x:c r="D72" s="61"/>
      <x:c r="E72" s="61"/>
      <x:c r="F72" s="61"/>
      <x:c r="G72" s="61"/>
      <x:c r="H72" s="61"/>
      <x:c r="I72" s="61"/>
      <x:c r="J72" s="61"/>
      <x:c r="K72" s="61"/>
      <x:c r="L72" s="61"/>
      <x:c r="M72" s="61"/>
      <x:c r="N72" s="61"/>
      <x:c r="O72" s="61"/>
      <x:c r="P72" s="61"/>
      <x:c r="Q72" s="61"/>
      <x:c r="R72" s="61"/>
      <x:c r="S72" s="61"/>
      <x:c r="T72" s="61"/>
      <x:c r="U72" s="61"/>
      <x:c r="V72" s="61"/>
      <x:c r="W72" s="61"/>
      <x:c r="X72" s="61"/>
      <x:c r="Y72" s="61"/>
      <x:c r="Z72" s="61"/>
    </x:row>
    <x:row r="73">
      <x:c r="A73" s="61"/>
      <x:c r="B73" s="61"/>
      <x:c r="C73" s="61"/>
      <x:c r="D73" s="61"/>
      <x:c r="E73" s="61"/>
      <x:c r="F73" s="61"/>
      <x:c r="G73" s="61"/>
      <x:c r="H73" s="61"/>
      <x:c r="I73" s="61"/>
      <x:c r="J73" s="61"/>
      <x:c r="K73" s="61"/>
      <x:c r="L73" s="61"/>
      <x:c r="M73" s="61"/>
      <x:c r="N73" s="61"/>
      <x:c r="O73" s="61"/>
      <x:c r="P73" s="61"/>
      <x:c r="Q73" s="61"/>
      <x:c r="R73" s="61"/>
      <x:c r="S73" s="61"/>
      <x:c r="T73" s="61"/>
      <x:c r="U73" s="61"/>
      <x:c r="V73" s="61"/>
      <x:c r="W73" s="61"/>
      <x:c r="X73" s="61"/>
      <x:c r="Y73" s="61"/>
      <x:c r="Z73" s="61"/>
    </x:row>
    <x:row r="74">
      <x:c r="A74" s="61"/>
      <x:c r="B74" s="61"/>
      <x:c r="C74" s="61"/>
      <x:c r="D74" s="61"/>
      <x:c r="E74" s="61"/>
      <x:c r="F74" s="61"/>
      <x:c r="G74" s="61"/>
      <x:c r="H74" s="61"/>
      <x:c r="I74" s="61"/>
      <x:c r="J74" s="61"/>
      <x:c r="K74" s="61"/>
      <x:c r="L74" s="61"/>
      <x:c r="M74" s="61"/>
      <x:c r="N74" s="61"/>
      <x:c r="O74" s="61"/>
      <x:c r="P74" s="61"/>
      <x:c r="Q74" s="61"/>
      <x:c r="R74" s="61"/>
      <x:c r="S74" s="61"/>
      <x:c r="T74" s="61"/>
      <x:c r="U74" s="61"/>
      <x:c r="V74" s="61"/>
      <x:c r="W74" s="61"/>
      <x:c r="X74" s="61"/>
      <x:c r="Y74" s="61"/>
      <x:c r="Z74" s="61"/>
    </x:row>
    <x:row r="75">
      <x:c r="A75" s="61"/>
      <x:c r="B75" s="61"/>
      <x:c r="C75" s="61"/>
      <x:c r="D75" s="61"/>
      <x:c r="E75" s="61"/>
      <x:c r="F75" s="61"/>
      <x:c r="G75" s="61"/>
      <x:c r="H75" s="61"/>
      <x:c r="I75" s="61"/>
      <x:c r="J75" s="61"/>
      <x:c r="K75" s="61"/>
      <x:c r="L75" s="61"/>
      <x:c r="M75" s="61"/>
      <x:c r="N75" s="61"/>
      <x:c r="O75" s="61"/>
      <x:c r="P75" s="61"/>
      <x:c r="Q75" s="61"/>
      <x:c r="R75" s="61"/>
      <x:c r="S75" s="61"/>
      <x:c r="T75" s="61"/>
      <x:c r="U75" s="61"/>
      <x:c r="V75" s="61"/>
      <x:c r="W75" s="61"/>
      <x:c r="X75" s="61"/>
      <x:c r="Y75" s="61"/>
      <x:c r="Z75" s="61"/>
    </x:row>
    <x:row r="76">
      <x:c r="A76" s="61"/>
      <x:c r="B76" s="61"/>
      <x:c r="C76" s="61"/>
      <x:c r="D76" s="61"/>
      <x:c r="E76" s="61"/>
      <x:c r="F76" s="61"/>
      <x:c r="G76" s="61"/>
      <x:c r="H76" s="61"/>
      <x:c r="I76" s="61"/>
      <x:c r="J76" s="61"/>
      <x:c r="K76" s="61"/>
      <x:c r="L76" s="61"/>
      <x:c r="M76" s="61"/>
      <x:c r="N76" s="61"/>
      <x:c r="O76" s="61"/>
      <x:c r="P76" s="61"/>
      <x:c r="Q76" s="61"/>
      <x:c r="R76" s="61"/>
      <x:c r="S76" s="61"/>
      <x:c r="T76" s="61"/>
      <x:c r="U76" s="61"/>
      <x:c r="V76" s="61"/>
      <x:c r="W76" s="61"/>
      <x:c r="X76" s="61"/>
      <x:c r="Y76" s="61"/>
      <x:c r="Z76" s="61"/>
    </x:row>
    <x:row r="77">
      <x:c r="A77" s="61"/>
      <x:c r="B77" s="61"/>
      <x:c r="C77" s="61"/>
      <x:c r="D77" s="61"/>
      <x:c r="E77" s="61"/>
      <x:c r="F77" s="61"/>
      <x:c r="G77" s="61"/>
      <x:c r="H77" s="61"/>
      <x:c r="I77" s="61"/>
      <x:c r="J77" s="61"/>
      <x:c r="K77" s="61"/>
      <x:c r="L77" s="61"/>
      <x:c r="M77" s="61"/>
      <x:c r="N77" s="61"/>
      <x:c r="O77" s="61"/>
      <x:c r="P77" s="61"/>
      <x:c r="Q77" s="61"/>
      <x:c r="R77" s="61"/>
      <x:c r="S77" s="61"/>
      <x:c r="T77" s="61"/>
      <x:c r="U77" s="61"/>
      <x:c r="V77" s="61"/>
      <x:c r="W77" s="61"/>
      <x:c r="X77" s="61"/>
      <x:c r="Y77" s="61"/>
      <x:c r="Z77" s="61"/>
    </x:row>
    <x:row r="78">
      <x:c r="A78" s="61"/>
      <x:c r="B78" s="61"/>
      <x:c r="C78" s="61"/>
      <x:c r="D78" s="61"/>
      <x:c r="E78" s="61"/>
      <x:c r="F78" s="61"/>
      <x:c r="G78" s="61"/>
      <x:c r="H78" s="61"/>
      <x:c r="I78" s="61"/>
      <x:c r="J78" s="61"/>
      <x:c r="K78" s="61"/>
      <x:c r="L78" s="61"/>
      <x:c r="M78" s="61"/>
      <x:c r="N78" s="61"/>
      <x:c r="O78" s="61"/>
      <x:c r="P78" s="61"/>
      <x:c r="Q78" s="61"/>
      <x:c r="R78" s="61"/>
      <x:c r="S78" s="61"/>
      <x:c r="T78" s="61"/>
      <x:c r="U78" s="61"/>
      <x:c r="V78" s="61"/>
      <x:c r="W78" s="61"/>
      <x:c r="X78" s="61"/>
      <x:c r="Y78" s="61"/>
      <x:c r="Z78" s="61"/>
    </x:row>
    <x:row r="79">
      <x:c r="A79" s="61"/>
      <x:c r="B79" s="61"/>
      <x:c r="C79" s="61"/>
      <x:c r="D79" s="61"/>
      <x:c r="E79" s="61"/>
      <x:c r="F79" s="61"/>
      <x:c r="G79" s="61"/>
      <x:c r="H79" s="61"/>
      <x:c r="I79" s="61"/>
      <x:c r="J79" s="61"/>
      <x:c r="K79" s="61"/>
      <x:c r="L79" s="61"/>
      <x:c r="M79" s="61"/>
      <x:c r="N79" s="61"/>
      <x:c r="O79" s="61"/>
      <x:c r="P79" s="61"/>
      <x:c r="Q79" s="61"/>
      <x:c r="R79" s="61"/>
      <x:c r="S79" s="61"/>
      <x:c r="T79" s="61"/>
      <x:c r="U79" s="61"/>
      <x:c r="V79" s="61"/>
      <x:c r="W79" s="61"/>
      <x:c r="X79" s="61"/>
      <x:c r="Y79" s="61"/>
      <x:c r="Z79" s="61"/>
    </x:row>
    <x:row r="80">
      <x:c r="A80" s="61"/>
      <x:c r="B80" s="61"/>
      <x:c r="C80" s="61"/>
      <x:c r="D80" s="61"/>
      <x:c r="E80" s="61"/>
      <x:c r="F80" s="61"/>
      <x:c r="G80" s="61"/>
      <x:c r="H80" s="61"/>
      <x:c r="I80" s="61"/>
      <x:c r="J80" s="61"/>
      <x:c r="K80" s="61"/>
      <x:c r="L80" s="61"/>
      <x:c r="M80" s="61"/>
      <x:c r="N80" s="61"/>
      <x:c r="O80" s="61"/>
      <x:c r="P80" s="61"/>
      <x:c r="Q80" s="61"/>
      <x:c r="R80" s="61"/>
      <x:c r="S80" s="61"/>
      <x:c r="T80" s="61"/>
      <x:c r="U80" s="61"/>
      <x:c r="V80" s="61"/>
      <x:c r="W80" s="61"/>
      <x:c r="X80" s="61"/>
      <x:c r="Y80" s="61"/>
      <x:c r="Z80" s="61"/>
    </x:row>
    <x:row r="81">
      <x:c r="A81" s="61"/>
      <x:c r="B81" s="61"/>
      <x:c r="C81" s="61"/>
      <x:c r="D81" s="61"/>
      <x:c r="E81" s="61"/>
      <x:c r="F81" s="61"/>
      <x:c r="G81" s="61"/>
      <x:c r="H81" s="61"/>
      <x:c r="I81" s="61"/>
      <x:c r="J81" s="61"/>
      <x:c r="K81" s="61"/>
      <x:c r="L81" s="61"/>
      <x:c r="M81" s="61"/>
      <x:c r="N81" s="61"/>
      <x:c r="O81" s="61"/>
      <x:c r="P81" s="61"/>
      <x:c r="Q81" s="61"/>
      <x:c r="R81" s="61"/>
      <x:c r="S81" s="61"/>
      <x:c r="T81" s="61"/>
      <x:c r="U81" s="61"/>
      <x:c r="V81" s="61"/>
      <x:c r="W81" s="61"/>
      <x:c r="X81" s="61"/>
      <x:c r="Y81" s="61"/>
      <x:c r="Z81" s="61"/>
    </x:row>
    <x:row r="82">
      <x:c r="A82" s="61"/>
      <x:c r="B82" s="61"/>
      <x:c r="C82" s="61"/>
      <x:c r="D82" s="61"/>
      <x:c r="E82" s="61"/>
      <x:c r="F82" s="61"/>
      <x:c r="G82" s="61"/>
      <x:c r="H82" s="61"/>
      <x:c r="I82" s="61"/>
      <x:c r="J82" s="61"/>
      <x:c r="K82" s="61"/>
      <x:c r="L82" s="61"/>
      <x:c r="M82" s="61"/>
      <x:c r="N82" s="61"/>
      <x:c r="O82" s="61"/>
      <x:c r="P82" s="61"/>
      <x:c r="Q82" s="61"/>
      <x:c r="R82" s="61"/>
      <x:c r="S82" s="61"/>
      <x:c r="T82" s="61"/>
      <x:c r="U82" s="61"/>
      <x:c r="V82" s="61"/>
      <x:c r="W82" s="61"/>
      <x:c r="X82" s="61"/>
      <x:c r="Y82" s="61"/>
      <x:c r="Z82" s="61"/>
    </x:row>
    <x:row r="83">
      <x:c r="A83" s="61"/>
      <x:c r="B83" s="61"/>
      <x:c r="C83" s="61"/>
      <x:c r="D83" s="61"/>
      <x:c r="E83" s="61"/>
      <x:c r="F83" s="61"/>
      <x:c r="G83" s="61"/>
      <x:c r="H83" s="61"/>
      <x:c r="I83" s="61"/>
      <x:c r="J83" s="61"/>
      <x:c r="K83" s="61"/>
      <x:c r="L83" s="61"/>
      <x:c r="M83" s="61"/>
      <x:c r="N83" s="61"/>
      <x:c r="O83" s="61"/>
      <x:c r="P83" s="61"/>
      <x:c r="Q83" s="61"/>
      <x:c r="R83" s="61"/>
      <x:c r="S83" s="61"/>
      <x:c r="T83" s="61"/>
      <x:c r="U83" s="61"/>
      <x:c r="V83" s="61"/>
      <x:c r="W83" s="61"/>
      <x:c r="X83" s="61"/>
      <x:c r="Y83" s="61"/>
      <x:c r="Z83" s="61"/>
    </x:row>
    <x:row r="84">
      <x:c r="A84" s="61"/>
      <x:c r="B84" s="61"/>
      <x:c r="C84" s="61"/>
      <x:c r="D84" s="61"/>
      <x:c r="E84" s="61"/>
      <x:c r="F84" s="61"/>
      <x:c r="G84" s="61"/>
      <x:c r="H84" s="61"/>
      <x:c r="I84" s="61"/>
      <x:c r="J84" s="61"/>
      <x:c r="K84" s="61"/>
      <x:c r="L84" s="61"/>
      <x:c r="M84" s="61"/>
      <x:c r="N84" s="61"/>
      <x:c r="O84" s="61"/>
      <x:c r="P84" s="61"/>
      <x:c r="Q84" s="61"/>
      <x:c r="R84" s="61"/>
      <x:c r="S84" s="61"/>
      <x:c r="T84" s="61"/>
      <x:c r="U84" s="61"/>
      <x:c r="V84" s="61"/>
      <x:c r="W84" s="61"/>
      <x:c r="X84" s="61"/>
      <x:c r="Y84" s="61"/>
      <x:c r="Z84" s="61"/>
    </x:row>
    <x:row r="85">
      <x:c r="A85" s="61"/>
      <x:c r="B85" s="61"/>
      <x:c r="C85" s="61"/>
      <x:c r="D85" s="61"/>
      <x:c r="E85" s="61"/>
      <x:c r="F85" s="61"/>
      <x:c r="G85" s="61"/>
      <x:c r="H85" s="61"/>
      <x:c r="I85" s="61"/>
      <x:c r="J85" s="61"/>
      <x:c r="K85" s="61"/>
      <x:c r="L85" s="61"/>
      <x:c r="M85" s="61"/>
      <x:c r="N85" s="61"/>
      <x:c r="O85" s="61"/>
      <x:c r="P85" s="61"/>
      <x:c r="Q85" s="61"/>
      <x:c r="R85" s="61"/>
      <x:c r="S85" s="61"/>
      <x:c r="T85" s="61"/>
      <x:c r="U85" s="61"/>
      <x:c r="V85" s="61"/>
      <x:c r="W85" s="61"/>
      <x:c r="X85" s="61"/>
      <x:c r="Y85" s="61"/>
      <x:c r="Z85" s="61"/>
    </x:row>
    <x:row r="86">
      <x:c r="A86" s="61"/>
      <x:c r="B86" s="61"/>
      <x:c r="C86" s="61"/>
      <x:c r="D86" s="61"/>
      <x:c r="E86" s="61"/>
      <x:c r="F86" s="61"/>
      <x:c r="G86" s="61"/>
      <x:c r="H86" s="61"/>
      <x:c r="I86" s="61"/>
      <x:c r="J86" s="61"/>
      <x:c r="K86" s="61"/>
      <x:c r="L86" s="61"/>
      <x:c r="M86" s="61"/>
      <x:c r="N86" s="61"/>
      <x:c r="O86" s="61"/>
      <x:c r="P86" s="61"/>
      <x:c r="Q86" s="61"/>
      <x:c r="R86" s="61"/>
      <x:c r="S86" s="61"/>
      <x:c r="T86" s="61"/>
      <x:c r="U86" s="61"/>
      <x:c r="V86" s="61"/>
      <x:c r="W86" s="61"/>
      <x:c r="X86" s="61"/>
      <x:c r="Y86" s="61"/>
      <x:c r="Z86" s="61"/>
    </x:row>
    <x:row r="87">
      <x:c r="A87" s="61"/>
      <x:c r="B87" s="61"/>
      <x:c r="C87" s="61"/>
      <x:c r="D87" s="61"/>
      <x:c r="E87" s="61"/>
      <x:c r="F87" s="61"/>
      <x:c r="G87" s="61"/>
      <x:c r="H87" s="61"/>
      <x:c r="I87" s="61"/>
      <x:c r="J87" s="61"/>
      <x:c r="K87" s="61"/>
      <x:c r="L87" s="61"/>
      <x:c r="M87" s="61"/>
      <x:c r="N87" s="61"/>
      <x:c r="O87" s="61"/>
      <x:c r="P87" s="61"/>
      <x:c r="Q87" s="61"/>
      <x:c r="R87" s="61"/>
      <x:c r="S87" s="61"/>
      <x:c r="T87" s="61"/>
      <x:c r="U87" s="61"/>
      <x:c r="V87" s="61"/>
      <x:c r="W87" s="61"/>
      <x:c r="X87" s="61"/>
      <x:c r="Y87" s="61"/>
      <x:c r="Z87" s="61"/>
    </x:row>
    <x:row r="88">
      <x:c r="A88" s="61"/>
      <x:c r="B88" s="61"/>
      <x:c r="C88" s="61"/>
      <x:c r="D88" s="61"/>
      <x:c r="E88" s="61"/>
      <x:c r="F88" s="61"/>
      <x:c r="G88" s="61"/>
      <x:c r="H88" s="61"/>
      <x:c r="I88" s="61"/>
      <x:c r="J88" s="61"/>
      <x:c r="K88" s="61"/>
      <x:c r="L88" s="61"/>
      <x:c r="M88" s="61"/>
      <x:c r="N88" s="61"/>
      <x:c r="O88" s="61"/>
      <x:c r="P88" s="61"/>
      <x:c r="Q88" s="61"/>
      <x:c r="R88" s="61"/>
      <x:c r="S88" s="61"/>
      <x:c r="T88" s="61"/>
      <x:c r="U88" s="61"/>
      <x:c r="V88" s="61"/>
      <x:c r="W88" s="61"/>
      <x:c r="X88" s="61"/>
      <x:c r="Y88" s="61"/>
      <x:c r="Z88" s="61"/>
    </x:row>
    <x:row r="89">
      <x:c r="A89" s="61"/>
      <x:c r="B89" s="61"/>
      <x:c r="C89" s="61"/>
      <x:c r="D89" s="61"/>
      <x:c r="E89" s="61"/>
      <x:c r="F89" s="61"/>
      <x:c r="G89" s="61"/>
      <x:c r="H89" s="61"/>
      <x:c r="I89" s="61"/>
      <x:c r="J89" s="61"/>
      <x:c r="K89" s="61"/>
      <x:c r="L89" s="61"/>
      <x:c r="M89" s="61"/>
      <x:c r="N89" s="61"/>
      <x:c r="O89" s="61"/>
      <x:c r="P89" s="61"/>
      <x:c r="Q89" s="61"/>
      <x:c r="R89" s="61"/>
      <x:c r="S89" s="61"/>
      <x:c r="T89" s="61"/>
      <x:c r="U89" s="61"/>
      <x:c r="V89" s="61"/>
      <x:c r="W89" s="61"/>
      <x:c r="X89" s="61"/>
      <x:c r="Y89" s="61"/>
      <x:c r="Z89" s="61"/>
    </x:row>
    <x:row r="90">
      <x:c r="A90" s="61"/>
      <x:c r="B90" s="61"/>
      <x:c r="C90" s="61"/>
      <x:c r="D90" s="61"/>
      <x:c r="E90" s="61"/>
      <x:c r="F90" s="61"/>
      <x:c r="G90" s="61"/>
      <x:c r="H90" s="61"/>
      <x:c r="I90" s="61"/>
      <x:c r="J90" s="61"/>
      <x:c r="K90" s="61"/>
      <x:c r="L90" s="61"/>
      <x:c r="M90" s="61"/>
      <x:c r="N90" s="61"/>
      <x:c r="O90" s="61"/>
      <x:c r="P90" s="61"/>
      <x:c r="Q90" s="61"/>
      <x:c r="R90" s="61"/>
      <x:c r="S90" s="61"/>
      <x:c r="T90" s="61"/>
      <x:c r="U90" s="61"/>
      <x:c r="V90" s="61"/>
      <x:c r="W90" s="61"/>
      <x:c r="X90" s="61"/>
      <x:c r="Y90" s="61"/>
      <x:c r="Z90" s="61"/>
    </x:row>
    <x:row r="91">
      <x:c r="A91" s="61"/>
      <x:c r="B91" s="61"/>
      <x:c r="C91" s="61"/>
      <x:c r="D91" s="61"/>
      <x:c r="E91" s="61"/>
      <x:c r="F91" s="61"/>
      <x:c r="G91" s="61"/>
      <x:c r="H91" s="61"/>
      <x:c r="I91" s="61"/>
      <x:c r="J91" s="61"/>
      <x:c r="K91" s="61"/>
      <x:c r="L91" s="61"/>
      <x:c r="M91" s="61"/>
      <x:c r="N91" s="61"/>
      <x:c r="O91" s="61"/>
      <x:c r="P91" s="61"/>
      <x:c r="Q91" s="61"/>
      <x:c r="R91" s="61"/>
      <x:c r="S91" s="61"/>
      <x:c r="T91" s="61"/>
      <x:c r="U91" s="61"/>
      <x:c r="V91" s="61"/>
      <x:c r="W91" s="61"/>
      <x:c r="X91" s="61"/>
      <x:c r="Y91" s="61"/>
      <x:c r="Z91" s="61"/>
    </x:row>
    <x:row r="92">
      <x:c r="A92" s="61"/>
      <x:c r="B92" s="61"/>
      <x:c r="C92" s="61"/>
      <x:c r="D92" s="61"/>
      <x:c r="E92" s="61"/>
      <x:c r="F92" s="61"/>
      <x:c r="G92" s="61"/>
      <x:c r="H92" s="61"/>
      <x:c r="I92" s="61"/>
      <x:c r="J92" s="61"/>
      <x:c r="K92" s="61"/>
      <x:c r="L92" s="61"/>
      <x:c r="M92" s="61"/>
      <x:c r="N92" s="61"/>
      <x:c r="O92" s="61"/>
      <x:c r="P92" s="61"/>
      <x:c r="Q92" s="61"/>
      <x:c r="R92" s="61"/>
      <x:c r="S92" s="61"/>
      <x:c r="T92" s="61"/>
      <x:c r="U92" s="61"/>
      <x:c r="V92" s="61"/>
      <x:c r="W92" s="61"/>
      <x:c r="X92" s="61"/>
      <x:c r="Y92" s="61"/>
      <x:c r="Z92" s="61"/>
    </x:row>
    <x:row r="93">
      <x:c r="A93" s="61"/>
      <x:c r="B93" s="61"/>
      <x:c r="C93" s="61"/>
      <x:c r="D93" s="61"/>
      <x:c r="E93" s="61"/>
      <x:c r="F93" s="61"/>
      <x:c r="G93" s="61"/>
      <x:c r="H93" s="61"/>
      <x:c r="I93" s="61"/>
      <x:c r="J93" s="61"/>
      <x:c r="K93" s="61"/>
      <x:c r="L93" s="61"/>
      <x:c r="M93" s="61"/>
      <x:c r="N93" s="61"/>
      <x:c r="O93" s="61"/>
      <x:c r="P93" s="61"/>
      <x:c r="Q93" s="61"/>
      <x:c r="R93" s="61"/>
      <x:c r="S93" s="61"/>
      <x:c r="T93" s="61"/>
      <x:c r="U93" s="61"/>
      <x:c r="V93" s="61"/>
      <x:c r="W93" s="61"/>
      <x:c r="X93" s="61"/>
      <x:c r="Y93" s="61"/>
      <x:c r="Z93" s="61"/>
    </x:row>
    <x:row r="94">
      <x:c r="A94" s="61"/>
      <x:c r="B94" s="61"/>
      <x:c r="C94" s="61"/>
      <x:c r="D94" s="61"/>
      <x:c r="E94" s="61"/>
      <x:c r="F94" s="61"/>
      <x:c r="G94" s="61"/>
      <x:c r="H94" s="61"/>
      <x:c r="I94" s="61"/>
      <x:c r="J94" s="61"/>
      <x:c r="K94" s="61"/>
      <x:c r="L94" s="61"/>
      <x:c r="M94" s="61"/>
      <x:c r="N94" s="61"/>
      <x:c r="O94" s="61"/>
      <x:c r="P94" s="61"/>
      <x:c r="Q94" s="61"/>
      <x:c r="R94" s="61"/>
      <x:c r="S94" s="61"/>
      <x:c r="T94" s="61"/>
      <x:c r="U94" s="61"/>
      <x:c r="V94" s="61"/>
      <x:c r="W94" s="61"/>
      <x:c r="X94" s="61"/>
      <x:c r="Y94" s="61"/>
      <x:c r="Z94" s="61"/>
    </x:row>
    <x:row r="95">
      <x:c r="A95" s="61"/>
      <x:c r="B95" s="61"/>
      <x:c r="C95" s="61"/>
      <x:c r="D95" s="61"/>
      <x:c r="E95" s="61"/>
      <x:c r="F95" s="61"/>
      <x:c r="G95" s="61"/>
      <x:c r="H95" s="61"/>
      <x:c r="I95" s="61"/>
      <x:c r="J95" s="61"/>
      <x:c r="K95" s="61"/>
      <x:c r="L95" s="61"/>
      <x:c r="M95" s="61"/>
      <x:c r="N95" s="61"/>
      <x:c r="O95" s="61"/>
      <x:c r="P95" s="61"/>
      <x:c r="Q95" s="61"/>
      <x:c r="R95" s="61"/>
      <x:c r="S95" s="61"/>
      <x:c r="T95" s="61"/>
      <x:c r="U95" s="61"/>
      <x:c r="V95" s="61"/>
      <x:c r="W95" s="61"/>
      <x:c r="X95" s="61"/>
      <x:c r="Y95" s="61"/>
      <x:c r="Z95" s="61"/>
    </x:row>
    <x:row r="96">
      <x:c r="A96" s="61"/>
      <x:c r="B96" s="61"/>
      <x:c r="C96" s="61"/>
      <x:c r="D96" s="61"/>
      <x:c r="E96" s="61"/>
      <x:c r="F96" s="61"/>
      <x:c r="G96" s="61"/>
      <x:c r="H96" s="61"/>
      <x:c r="I96" s="61"/>
      <x:c r="J96" s="61"/>
      <x:c r="K96" s="61"/>
      <x:c r="L96" s="61"/>
      <x:c r="M96" s="61"/>
      <x:c r="N96" s="61"/>
      <x:c r="O96" s="61"/>
      <x:c r="P96" s="61"/>
      <x:c r="Q96" s="61"/>
      <x:c r="R96" s="61"/>
      <x:c r="S96" s="61"/>
      <x:c r="T96" s="61"/>
      <x:c r="U96" s="61"/>
      <x:c r="V96" s="61"/>
      <x:c r="W96" s="61"/>
      <x:c r="X96" s="61"/>
      <x:c r="Y96" s="61"/>
      <x:c r="Z96" s="61"/>
    </x:row>
    <x:row r="97">
      <x:c r="A97" s="61"/>
      <x:c r="B97" s="61"/>
      <x:c r="C97" s="61"/>
      <x:c r="D97" s="61"/>
      <x:c r="E97" s="61"/>
      <x:c r="F97" s="61"/>
      <x:c r="G97" s="61"/>
      <x:c r="H97" s="61"/>
      <x:c r="I97" s="61"/>
      <x:c r="J97" s="61"/>
      <x:c r="K97" s="61"/>
      <x:c r="L97" s="61"/>
      <x:c r="M97" s="61"/>
      <x:c r="N97" s="61"/>
      <x:c r="O97" s="61"/>
      <x:c r="P97" s="61"/>
      <x:c r="Q97" s="61"/>
      <x:c r="R97" s="61"/>
      <x:c r="S97" s="61"/>
      <x:c r="T97" s="61"/>
      <x:c r="U97" s="61"/>
      <x:c r="V97" s="61"/>
      <x:c r="W97" s="61"/>
      <x:c r="X97" s="61"/>
      <x:c r="Y97" s="61"/>
      <x:c r="Z97" s="61"/>
    </x:row>
    <x:row r="98">
      <x:c r="A98" s="61"/>
      <x:c r="B98" s="61"/>
      <x:c r="C98" s="61"/>
      <x:c r="D98" s="61"/>
      <x:c r="E98" s="61"/>
      <x:c r="F98" s="61"/>
      <x:c r="G98" s="61"/>
      <x:c r="H98" s="61"/>
      <x:c r="I98" s="61"/>
      <x:c r="J98" s="61"/>
      <x:c r="K98" s="61"/>
      <x:c r="L98" s="61"/>
      <x:c r="M98" s="61"/>
      <x:c r="N98" s="61"/>
      <x:c r="O98" s="61"/>
      <x:c r="P98" s="61"/>
      <x:c r="Q98" s="61"/>
      <x:c r="R98" s="61"/>
      <x:c r="S98" s="61"/>
      <x:c r="T98" s="61"/>
      <x:c r="U98" s="61"/>
      <x:c r="V98" s="61"/>
      <x:c r="W98" s="61"/>
      <x:c r="X98" s="61"/>
      <x:c r="Y98" s="61"/>
      <x:c r="Z98" s="61"/>
    </x:row>
    <x:row r="99">
      <x:c r="A99" s="61"/>
      <x:c r="B99" s="61"/>
      <x:c r="C99" s="61"/>
      <x:c r="D99" s="61"/>
      <x:c r="E99" s="61"/>
      <x:c r="F99" s="61"/>
      <x:c r="G99" s="61"/>
      <x:c r="H99" s="61"/>
      <x:c r="I99" s="61"/>
      <x:c r="J99" s="61"/>
      <x:c r="K99" s="61"/>
      <x:c r="L99" s="61"/>
      <x:c r="M99" s="61"/>
      <x:c r="N99" s="61"/>
      <x:c r="O99" s="61"/>
      <x:c r="P99" s="61"/>
      <x:c r="Q99" s="61"/>
      <x:c r="R99" s="61"/>
      <x:c r="S99" s="61"/>
      <x:c r="T99" s="61"/>
      <x:c r="U99" s="61"/>
      <x:c r="V99" s="61"/>
      <x:c r="W99" s="61"/>
      <x:c r="X99" s="61"/>
      <x:c r="Y99" s="61"/>
      <x:c r="Z99" s="61"/>
    </x:row>
    <x:row r="100">
      <x:c r="A100" s="61"/>
      <x:c r="B100" s="61"/>
      <x:c r="C100" s="61"/>
      <x:c r="D100" s="61"/>
      <x:c r="E100" s="61"/>
      <x:c r="F100" s="61"/>
      <x:c r="G100" s="61"/>
      <x:c r="H100" s="61"/>
      <x:c r="I100" s="61"/>
      <x:c r="J100" s="61"/>
      <x:c r="K100" s="61"/>
      <x:c r="L100" s="61"/>
      <x:c r="M100" s="61"/>
      <x:c r="N100" s="61"/>
      <x:c r="O100" s="61"/>
      <x:c r="P100" s="61"/>
      <x:c r="Q100" s="61"/>
      <x:c r="R100" s="61"/>
      <x:c r="S100" s="61"/>
      <x:c r="T100" s="61"/>
      <x:c r="U100" s="61"/>
      <x:c r="V100" s="61"/>
      <x:c r="W100" s="61"/>
      <x:c r="X100" s="61"/>
      <x:c r="Y100" s="61"/>
      <x:c r="Z100" s="61"/>
    </x:row>
  </x:sheetData>
  <x:mergeCells>
    <x:mergeCell ref="A1:E1"/>
  </x:mergeCells>
  <x:pageMargins left="0.7" right="0.7" top="0.75" bottom="0.75" header="0.3" footer="0.3"/>
</x:worksheet>
</file>

<file path=xl/worksheets/sheet7.xml><?xml version="1.0" encoding="utf-8"?>
<x:worksheet xmlns:x="http://schemas.openxmlformats.org/spreadsheetml/2006/main">
  <x:sheetFormatPr defaultRowHeight="15"/>
  <x:cols>
    <x:col min="1" max="1" width="42" hidden="0" customWidth="1"/>
    <x:col min="2" max="2" width="52" hidden="0" customWidth="1"/>
    <x:col min="3" max="3" width="28" hidden="0" customWidth="1"/>
    <x:col min="4" max="4" width="54" hidden="0" customWidth="1"/>
  </x:cols>
  <x:sheetData>
    <x:row r="1">
      <x:c r="A1" s="78" t="str">
        <x:v>DUCKWORKS | SOURCE BASIS &amp; EVIDENCE BOUNDARY</x:v>
      </x:c>
      <x:c r="B1" s="61"/>
      <x:c r="C1" s="61"/>
      <x:c r="D1" s="61"/>
      <x:c r="E1" s="61"/>
      <x:c r="F1" s="61"/>
      <x:c r="G1" s="61"/>
      <x:c r="H1" s="61"/>
      <x:c r="I1" s="61"/>
      <x:c r="J1" s="61"/>
      <x:c r="K1" s="61"/>
      <x:c r="L1" s="61"/>
      <x:c r="M1" s="61"/>
      <x:c r="N1" s="61"/>
      <x:c r="O1" s="61"/>
      <x:c r="P1" s="61"/>
      <x:c r="Q1" s="61"/>
      <x:c r="R1" s="61"/>
      <x:c r="S1" s="61"/>
      <x:c r="T1" s="61"/>
      <x:c r="U1" s="61"/>
      <x:c r="V1" s="61"/>
      <x:c r="W1" s="61"/>
      <x:c r="X1" s="61"/>
      <x:c r="Y1" s="61"/>
      <x:c r="Z1" s="61"/>
    </x:row>
    <x:row r="2">
      <x:c r="A2" s="61"/>
      <x:c r="B2" s="61"/>
      <x:c r="C2" s="61"/>
      <x:c r="D2" s="61"/>
      <x:c r="E2" s="61"/>
      <x:c r="F2" s="61"/>
      <x:c r="G2" s="61"/>
      <x:c r="H2" s="61"/>
      <x:c r="I2" s="61"/>
      <x:c r="J2" s="61"/>
      <x:c r="K2" s="61"/>
      <x:c r="L2" s="61"/>
      <x:c r="M2" s="61"/>
      <x:c r="N2" s="61"/>
      <x:c r="O2" s="61"/>
      <x:c r="P2" s="61"/>
      <x:c r="Q2" s="61"/>
      <x:c r="R2" s="61"/>
      <x:c r="S2" s="61"/>
      <x:c r="T2" s="61"/>
      <x:c r="U2" s="61"/>
      <x:c r="V2" s="61"/>
      <x:c r="W2" s="61"/>
      <x:c r="X2" s="61"/>
      <x:c r="Y2" s="61"/>
      <x:c r="Z2" s="61"/>
    </x:row>
    <x:row r="3">
      <x:c r="A3" s="63" t="str">
        <x:v>Source Artifact</x:v>
      </x:c>
      <x:c r="B3" s="63" t="str">
        <x:v>Inventory Use</x:v>
      </x:c>
      <x:c r="C3" s="63" t="str">
        <x:v>Source Type</x:v>
      </x:c>
      <x:c r="D3" s="63" t="str">
        <x:v>Boundary / Note</x:v>
      </x:c>
      <x:c r="E3" s="61"/>
      <x:c r="F3" s="61"/>
      <x:c r="G3" s="61"/>
      <x:c r="H3" s="61"/>
      <x:c r="I3" s="61"/>
      <x:c r="J3" s="61"/>
      <x:c r="K3" s="61"/>
      <x:c r="L3" s="61"/>
      <x:c r="M3" s="61"/>
      <x:c r="N3" s="61"/>
      <x:c r="O3" s="61"/>
      <x:c r="P3" s="61"/>
      <x:c r="Q3" s="61"/>
      <x:c r="R3" s="61"/>
      <x:c r="S3" s="61"/>
      <x:c r="T3" s="61"/>
      <x:c r="U3" s="61"/>
      <x:c r="V3" s="61"/>
      <x:c r="W3" s="61"/>
      <x:c r="X3" s="61"/>
      <x:c r="Y3" s="61"/>
      <x:c r="Z3" s="61"/>
    </x:row>
    <x:row r="4">
      <x:c r="A4" s="67" t="str">
        <x:v>Duckworks_AI_System_Inventory_Risk_Assessed.xlsx</x:v>
      </x:c>
      <x:c r="B4" s="67" t="str">
        <x:v>Primary baseline for the seven inventory records, dates, technology/data fields, risk and status values.</x:v>
      </x:c>
      <x:c r="C4" s="67" t="str">
        <x:v>Duckworks internal portfolio artifact</x:v>
      </x:c>
      <x:c r="D4" s="67" t="str">
        <x:v>Used as the principal factual baseline for the recreated inventory.</x:v>
      </x:c>
      <x:c r="E4" s="61"/>
      <x:c r="F4" s="61"/>
      <x:c r="G4" s="61"/>
      <x:c r="H4" s="61"/>
      <x:c r="I4" s="61"/>
      <x:c r="J4" s="61"/>
      <x:c r="K4" s="61"/>
      <x:c r="L4" s="61"/>
      <x:c r="M4" s="61"/>
      <x:c r="N4" s="61"/>
      <x:c r="O4" s="61"/>
      <x:c r="P4" s="61"/>
      <x:c r="Q4" s="61"/>
      <x:c r="R4" s="61"/>
      <x:c r="S4" s="61"/>
      <x:c r="T4" s="61"/>
      <x:c r="U4" s="61"/>
      <x:c r="V4" s="61"/>
      <x:c r="W4" s="61"/>
      <x:c r="X4" s="61"/>
      <x:c r="Y4" s="61"/>
      <x:c r="Z4" s="61"/>
    </x:row>
    <x:row r="5">
      <x:c r="A5" s="67" t="str">
        <x:v>Duckworks AI Governance Project — Business Scenario</x:v>
      </x:c>
      <x:c r="B5" s="67" t="str">
        <x:v>Seven-system portfolio, intended purposes, shadow-AI condition and controlled-innovation objective.</x:v>
      </x:c>
      <x:c r="C5" s="67" t="str">
        <x:v>Duckworks scenario source</x:v>
      </x:c>
      <x:c r="D5" s="67" t="str">
        <x:v>Confirms AI-001 through AI-007 and business context.</x:v>
      </x:c>
      <x:c r="E5" s="61"/>
      <x:c r="F5" s="61"/>
      <x:c r="G5" s="61"/>
      <x:c r="H5" s="61"/>
      <x:c r="I5" s="61"/>
      <x:c r="J5" s="61"/>
      <x:c r="K5" s="61"/>
      <x:c r="L5" s="61"/>
      <x:c r="M5" s="61"/>
      <x:c r="N5" s="61"/>
      <x:c r="O5" s="61"/>
      <x:c r="P5" s="61"/>
      <x:c r="Q5" s="61"/>
      <x:c r="R5" s="61"/>
      <x:c r="S5" s="61"/>
      <x:c r="T5" s="61"/>
      <x:c r="U5" s="61"/>
      <x:c r="V5" s="61"/>
      <x:c r="W5" s="61"/>
      <x:c r="X5" s="61"/>
      <x:c r="Y5" s="61"/>
      <x:c r="Z5" s="61"/>
    </x:row>
    <x:row r="6">
      <x:c r="A6" s="67" t="str">
        <x:v>Duckworks Project Stakeholder Register v1.0</x:v>
      </x:c>
      <x:c r="B6" s="67" t="str">
        <x:v>Named business owners, governance roles and affected groups.</x:v>
      </x:c>
      <x:c r="C6" s="67" t="str">
        <x:v>Duckworks governance source</x:v>
      </x:c>
      <x:c r="D6" s="67" t="str">
        <x:v>Used to validate system ownership and challenge roles.</x:v>
      </x:c>
      <x:c r="E6" s="61"/>
      <x:c r="F6" s="61"/>
      <x:c r="G6" s="61"/>
      <x:c r="H6" s="61"/>
      <x:c r="I6" s="61"/>
      <x:c r="J6" s="61"/>
      <x:c r="K6" s="61"/>
      <x:c r="L6" s="61"/>
      <x:c r="M6" s="61"/>
      <x:c r="N6" s="61"/>
      <x:c r="O6" s="61"/>
      <x:c r="P6" s="61"/>
      <x:c r="Q6" s="61"/>
      <x:c r="R6" s="61"/>
      <x:c r="S6" s="61"/>
      <x:c r="T6" s="61"/>
      <x:c r="U6" s="61"/>
      <x:c r="V6" s="61"/>
      <x:c r="W6" s="61"/>
      <x:c r="X6" s="61"/>
      <x:c r="Y6" s="61"/>
      <x:c r="Z6" s="61"/>
    </x:row>
    <x:row r="7">
      <x:c r="A7" s="67" t="str">
        <x:v>Duckworks AI RACI Chart v1.0</x:v>
      </x:c>
      <x:c r="B7" s="67" t="str">
        <x:v>System owner map and lifecycle accountability model.</x:v>
      </x:c>
      <x:c r="C7" s="67" t="str">
        <x:v>Duckworks governance source</x:v>
      </x:c>
      <x:c r="D7" s="67" t="str">
        <x:v>Used to preserve ownership and three-lines boundaries.</x:v>
      </x:c>
      <x:c r="E7" s="61"/>
      <x:c r="F7" s="61"/>
      <x:c r="G7" s="61"/>
      <x:c r="H7" s="61"/>
      <x:c r="I7" s="61"/>
      <x:c r="J7" s="61"/>
      <x:c r="K7" s="61"/>
      <x:c r="L7" s="61"/>
      <x:c r="M7" s="61"/>
      <x:c r="N7" s="61"/>
      <x:c r="O7" s="61"/>
      <x:c r="P7" s="61"/>
      <x:c r="Q7" s="61"/>
      <x:c r="R7" s="61"/>
      <x:c r="S7" s="61"/>
      <x:c r="T7" s="61"/>
      <x:c r="U7" s="61"/>
      <x:c r="V7" s="61"/>
      <x:c r="W7" s="61"/>
      <x:c r="X7" s="61"/>
      <x:c r="Y7" s="61"/>
      <x:c r="Z7" s="61"/>
    </x:row>
    <x:row r="8">
      <x:c r="A8" s="67" t="str">
        <x:v>Duckworks Project Acceptance Criteria v1.0</x:v>
      </x:c>
      <x:c r="B8" s="67" t="str">
        <x:v>Current system-specific governance gates.</x:v>
      </x:c>
      <x:c r="C8" s="67" t="str">
        <x:v>Duckworks governance source</x:v>
      </x:c>
      <x:c r="D8" s="67" t="str">
        <x:v>Used for restricted pilot / blocked / monitoring / containment decisions.</x:v>
      </x:c>
      <x:c r="E8" s="61"/>
      <x:c r="F8" s="61"/>
      <x:c r="G8" s="61"/>
      <x:c r="H8" s="61"/>
      <x:c r="I8" s="61"/>
      <x:c r="J8" s="61"/>
      <x:c r="K8" s="61"/>
      <x:c r="L8" s="61"/>
      <x:c r="M8" s="61"/>
      <x:c r="N8" s="61"/>
      <x:c r="O8" s="61"/>
      <x:c r="P8" s="61"/>
      <x:c r="Q8" s="61"/>
      <x:c r="R8" s="61"/>
      <x:c r="S8" s="61"/>
      <x:c r="T8" s="61"/>
      <x:c r="U8" s="61"/>
      <x:c r="V8" s="61"/>
      <x:c r="W8" s="61"/>
      <x:c r="X8" s="61"/>
      <x:c r="Y8" s="61"/>
      <x:c r="Z8" s="61"/>
    </x:row>
    <x:row r="9">
      <x:c r="A9" s="67" t="str">
        <x:v>Duckworks AI Risk Classification &amp; Assessment Methodology v1.0</x:v>
      </x:c>
      <x:c r="B9" s="67" t="str">
        <x:v>Risk labels, control-effectiveness terminology and evidence rules.</x:v>
      </x:c>
      <x:c r="C9" s="67" t="str">
        <x:v>Duckworks methodology</x:v>
      </x:c>
      <x:c r="D9" s="67" t="str">
        <x:v>Internal ratings are separate from legal classification.</x:v>
      </x:c>
      <x:c r="E9" s="61"/>
      <x:c r="F9" s="61"/>
      <x:c r="G9" s="61"/>
      <x:c r="H9" s="61"/>
      <x:c r="I9" s="61"/>
      <x:c r="J9" s="61"/>
      <x:c r="K9" s="61"/>
      <x:c r="L9" s="61"/>
      <x:c r="M9" s="61"/>
      <x:c r="N9" s="61"/>
      <x:c r="O9" s="61"/>
      <x:c r="P9" s="61"/>
      <x:c r="Q9" s="61"/>
      <x:c r="R9" s="61"/>
      <x:c r="S9" s="61"/>
      <x:c r="T9" s="61"/>
      <x:c r="U9" s="61"/>
      <x:c r="V9" s="61"/>
      <x:c r="W9" s="61"/>
      <x:c r="X9" s="61"/>
      <x:c r="Y9" s="61"/>
      <x:c r="Z9" s="61"/>
    </x:row>
    <x:row r="10">
      <x:c r="A10" s="67" t="str">
        <x:v>Duckworks AI Model Documentation — DuckTalent v1.0</x:v>
      </x:c>
      <x:c r="B10" s="67" t="str">
        <x:v>DuckTalent technical/model owner and explicit model/provider/version evidence gaps.</x:v>
      </x:c>
      <x:c r="C10" s="67" t="str">
        <x:v>Duckworks technical documentation</x:v>
      </x:c>
      <x:c r="D10" s="67" t="str">
        <x:v>DuckTalent model details remain TBD where not evidenced.</x:v>
      </x:c>
      <x:c r="E10" s="61"/>
      <x:c r="F10" s="61"/>
      <x:c r="G10" s="61"/>
      <x:c r="H10" s="61"/>
      <x:c r="I10" s="61"/>
      <x:c r="J10" s="61"/>
      <x:c r="K10" s="61"/>
      <x:c r="L10" s="61"/>
      <x:c r="M10" s="61"/>
      <x:c r="N10" s="61"/>
      <x:c r="O10" s="61"/>
      <x:c r="P10" s="61"/>
      <x:c r="Q10" s="61"/>
      <x:c r="R10" s="61"/>
      <x:c r="S10" s="61"/>
      <x:c r="T10" s="61"/>
      <x:c r="U10" s="61"/>
      <x:c r="V10" s="61"/>
      <x:c r="W10" s="61"/>
      <x:c r="X10" s="61"/>
      <x:c r="Y10" s="61"/>
      <x:c r="Z10" s="61"/>
    </x:row>
    <x:row r="11">
      <x:c r="A11" s="67" t="str">
        <x:v>Duckworks AI Governance Lifecycle SOP v1.0</x:v>
      </x:c>
      <x:c r="B11" s="67" t="str">
        <x:v>Minimum inventory fields, lifecycle governance, monitoring and reassessment expectations.</x:v>
      </x:c>
      <x:c r="C11" s="67" t="str">
        <x:v>Duckworks operating procedure</x:v>
      </x:c>
      <x:c r="D11" s="67" t="str">
        <x:v>Supports ongoing maintenance of QuackTrack.</x:v>
      </x:c>
      <x:c r="E11" s="61"/>
      <x:c r="F11" s="61"/>
      <x:c r="G11" s="61"/>
      <x:c r="H11" s="61"/>
      <x:c r="I11" s="61"/>
      <x:c r="J11" s="61"/>
      <x:c r="K11" s="61"/>
      <x:c r="L11" s="61"/>
      <x:c r="M11" s="61"/>
      <x:c r="N11" s="61"/>
      <x:c r="O11" s="61"/>
      <x:c r="P11" s="61"/>
      <x:c r="Q11" s="61"/>
      <x:c r="R11" s="61"/>
      <x:c r="S11" s="61"/>
      <x:c r="T11" s="61"/>
      <x:c r="U11" s="61"/>
      <x:c r="V11" s="61"/>
      <x:c r="W11" s="61"/>
      <x:c r="X11" s="61"/>
      <x:c r="Y11" s="61"/>
      <x:c r="Z11" s="61"/>
    </x:row>
    <x:row r="12">
      <x:c r="A12" s="61"/>
      <x:c r="B12" s="61"/>
      <x:c r="C12" s="61"/>
      <x:c r="D12" s="61"/>
      <x:c r="E12" s="61"/>
      <x:c r="F12" s="61"/>
      <x:c r="G12" s="61"/>
      <x:c r="H12" s="61"/>
      <x:c r="I12" s="61"/>
      <x:c r="J12" s="61"/>
      <x:c r="K12" s="61"/>
      <x:c r="L12" s="61"/>
      <x:c r="M12" s="61"/>
      <x:c r="N12" s="61"/>
      <x:c r="O12" s="61"/>
      <x:c r="P12" s="61"/>
      <x:c r="Q12" s="61"/>
      <x:c r="R12" s="61"/>
      <x:c r="S12" s="61"/>
      <x:c r="T12" s="61"/>
      <x:c r="U12" s="61"/>
      <x:c r="V12" s="61"/>
      <x:c r="W12" s="61"/>
      <x:c r="X12" s="61"/>
      <x:c r="Y12" s="61"/>
      <x:c r="Z12" s="61"/>
    </x:row>
    <x:row r="13">
      <x:c r="A13" s="80" t="str">
        <x:v>Portfolio disclaimer: Duckworks, Project W.I.N.G., all personnel, systems, providers, data, incidents, risks, controls, metrics and evidence in this workbook are fictional or synthetic and created solely for educational and professional portfolio purposes. This inventory is not legal advice, certification evidence, a conformity assessment or proof of regulatory compliance.</x:v>
      </x:c>
      <x:c r="B13" s="80"/>
      <x:c r="C13" s="80"/>
      <x:c r="D13" s="80"/>
      <x:c r="E13" s="61"/>
      <x:c r="F13" s="61"/>
      <x:c r="G13" s="61"/>
      <x:c r="H13" s="61"/>
      <x:c r="I13" s="61"/>
      <x:c r="J13" s="61"/>
      <x:c r="K13" s="61"/>
      <x:c r="L13" s="61"/>
      <x:c r="M13" s="61"/>
      <x:c r="N13" s="61"/>
      <x:c r="O13" s="61"/>
      <x:c r="P13" s="61"/>
      <x:c r="Q13" s="61"/>
      <x:c r="R13" s="61"/>
      <x:c r="S13" s="61"/>
      <x:c r="T13" s="61"/>
      <x:c r="U13" s="61"/>
      <x:c r="V13" s="61"/>
      <x:c r="W13" s="61"/>
      <x:c r="X13" s="61"/>
      <x:c r="Y13" s="61"/>
      <x:c r="Z13" s="61"/>
    </x:row>
    <x:row r="14">
      <x:c r="A14" s="80"/>
      <x:c r="B14" s="80"/>
      <x:c r="C14" s="80"/>
      <x:c r="D14" s="80"/>
      <x:c r="E14" s="61"/>
      <x:c r="F14" s="61"/>
      <x:c r="G14" s="61"/>
      <x:c r="H14" s="61"/>
      <x:c r="I14" s="61"/>
      <x:c r="J14" s="61"/>
      <x:c r="K14" s="61"/>
      <x:c r="L14" s="61"/>
      <x:c r="M14" s="61"/>
      <x:c r="N14" s="61"/>
      <x:c r="O14" s="61"/>
      <x:c r="P14" s="61"/>
      <x:c r="Q14" s="61"/>
      <x:c r="R14" s="61"/>
      <x:c r="S14" s="61"/>
      <x:c r="T14" s="61"/>
      <x:c r="U14" s="61"/>
      <x:c r="V14" s="61"/>
      <x:c r="W14" s="61"/>
      <x:c r="X14" s="61"/>
      <x:c r="Y14" s="61"/>
      <x:c r="Z14" s="61"/>
    </x:row>
    <x:row r="15">
      <x:c r="A15" s="80"/>
      <x:c r="B15" s="80"/>
      <x:c r="C15" s="80"/>
      <x:c r="D15" s="80"/>
      <x:c r="E15" s="61"/>
      <x:c r="F15" s="61"/>
      <x:c r="G15" s="61"/>
      <x:c r="H15" s="61"/>
      <x:c r="I15" s="61"/>
      <x:c r="J15" s="61"/>
      <x:c r="K15" s="61"/>
      <x:c r="L15" s="61"/>
      <x:c r="M15" s="61"/>
      <x:c r="N15" s="61"/>
      <x:c r="O15" s="61"/>
      <x:c r="P15" s="61"/>
      <x:c r="Q15" s="61"/>
      <x:c r="R15" s="61"/>
      <x:c r="S15" s="61"/>
      <x:c r="T15" s="61"/>
      <x:c r="U15" s="61"/>
      <x:c r="V15" s="61"/>
      <x:c r="W15" s="61"/>
      <x:c r="X15" s="61"/>
      <x:c r="Y15" s="61"/>
      <x:c r="Z15" s="61"/>
    </x:row>
    <x:row r="16">
      <x:c r="A16" s="61"/>
      <x:c r="B16" s="61"/>
      <x:c r="C16" s="61"/>
      <x:c r="D16" s="61"/>
      <x:c r="E16" s="61"/>
      <x:c r="F16" s="61"/>
      <x:c r="G16" s="61"/>
      <x:c r="H16" s="61"/>
      <x:c r="I16" s="61"/>
      <x:c r="J16" s="61"/>
      <x:c r="K16" s="61"/>
      <x:c r="L16" s="61"/>
      <x:c r="M16" s="61"/>
      <x:c r="N16" s="61"/>
      <x:c r="O16" s="61"/>
      <x:c r="P16" s="61"/>
      <x:c r="Q16" s="61"/>
      <x:c r="R16" s="61"/>
      <x:c r="S16" s="61"/>
      <x:c r="T16" s="61"/>
      <x:c r="U16" s="61"/>
      <x:c r="V16" s="61"/>
      <x:c r="W16" s="61"/>
      <x:c r="X16" s="61"/>
      <x:c r="Y16" s="61"/>
      <x:c r="Z16" s="61"/>
    </x:row>
    <x:row r="17">
      <x:c r="A17" s="61"/>
      <x:c r="B17" s="61"/>
      <x:c r="C17" s="61"/>
      <x:c r="D17" s="61"/>
      <x:c r="E17" s="61"/>
      <x:c r="F17" s="61"/>
      <x:c r="G17" s="61"/>
      <x:c r="H17" s="61"/>
      <x:c r="I17" s="61"/>
      <x:c r="J17" s="61"/>
      <x:c r="K17" s="61"/>
      <x:c r="L17" s="61"/>
      <x:c r="M17" s="61"/>
      <x:c r="N17" s="61"/>
      <x:c r="O17" s="61"/>
      <x:c r="P17" s="61"/>
      <x:c r="Q17" s="61"/>
      <x:c r="R17" s="61"/>
      <x:c r="S17" s="61"/>
      <x:c r="T17" s="61"/>
      <x:c r="U17" s="61"/>
      <x:c r="V17" s="61"/>
      <x:c r="W17" s="61"/>
      <x:c r="X17" s="61"/>
      <x:c r="Y17" s="61"/>
      <x:c r="Z17" s="61"/>
    </x:row>
    <x:row r="18">
      <x:c r="A18" s="61"/>
      <x:c r="B18" s="61"/>
      <x:c r="C18" s="61"/>
      <x:c r="D18" s="61"/>
      <x:c r="E18" s="61"/>
      <x:c r="F18" s="61"/>
      <x:c r="G18" s="61"/>
      <x:c r="H18" s="61"/>
      <x:c r="I18" s="61"/>
      <x:c r="J18" s="61"/>
      <x:c r="K18" s="61"/>
      <x:c r="L18" s="61"/>
      <x:c r="M18" s="61"/>
      <x:c r="N18" s="61"/>
      <x:c r="O18" s="61"/>
      <x:c r="P18" s="61"/>
      <x:c r="Q18" s="61"/>
      <x:c r="R18" s="61"/>
      <x:c r="S18" s="61"/>
      <x:c r="T18" s="61"/>
      <x:c r="U18" s="61"/>
      <x:c r="V18" s="61"/>
      <x:c r="W18" s="61"/>
      <x:c r="X18" s="61"/>
      <x:c r="Y18" s="61"/>
      <x:c r="Z18" s="61"/>
    </x:row>
    <x:row r="19">
      <x:c r="A19" s="61"/>
      <x:c r="B19" s="61"/>
      <x:c r="C19" s="61"/>
      <x:c r="D19" s="61"/>
      <x:c r="E19" s="61"/>
      <x:c r="F19" s="61"/>
      <x:c r="G19" s="61"/>
      <x:c r="H19" s="61"/>
      <x:c r="I19" s="61"/>
      <x:c r="J19" s="61"/>
      <x:c r="K19" s="61"/>
      <x:c r="L19" s="61"/>
      <x:c r="M19" s="61"/>
      <x:c r="N19" s="61"/>
      <x:c r="O19" s="61"/>
      <x:c r="P19" s="61"/>
      <x:c r="Q19" s="61"/>
      <x:c r="R19" s="61"/>
      <x:c r="S19" s="61"/>
      <x:c r="T19" s="61"/>
      <x:c r="U19" s="61"/>
      <x:c r="V19" s="61"/>
      <x:c r="W19" s="61"/>
      <x:c r="X19" s="61"/>
      <x:c r="Y19" s="61"/>
      <x:c r="Z19" s="61"/>
    </x:row>
    <x:row r="20">
      <x:c r="A20" s="61"/>
      <x:c r="B20" s="61"/>
      <x:c r="C20" s="61"/>
      <x:c r="D20" s="61"/>
      <x:c r="E20" s="61"/>
      <x:c r="F20" s="61"/>
      <x:c r="G20" s="61"/>
      <x:c r="H20" s="61"/>
      <x:c r="I20" s="61"/>
      <x:c r="J20" s="61"/>
      <x:c r="K20" s="61"/>
      <x:c r="L20" s="61"/>
      <x:c r="M20" s="61"/>
      <x:c r="N20" s="61"/>
      <x:c r="O20" s="61"/>
      <x:c r="P20" s="61"/>
      <x:c r="Q20" s="61"/>
      <x:c r="R20" s="61"/>
      <x:c r="S20" s="61"/>
      <x:c r="T20" s="61"/>
      <x:c r="U20" s="61"/>
      <x:c r="V20" s="61"/>
      <x:c r="W20" s="61"/>
      <x:c r="X20" s="61"/>
      <x:c r="Y20" s="61"/>
      <x:c r="Z20" s="61"/>
    </x:row>
    <x:row r="21">
      <x:c r="A21" s="61"/>
      <x:c r="B21" s="61"/>
      <x:c r="C21" s="61"/>
      <x:c r="D21" s="61"/>
      <x:c r="E21" s="61"/>
      <x:c r="F21" s="61"/>
      <x:c r="G21" s="61"/>
      <x:c r="H21" s="61"/>
      <x:c r="I21" s="61"/>
      <x:c r="J21" s="61"/>
      <x:c r="K21" s="61"/>
      <x:c r="L21" s="61"/>
      <x:c r="M21" s="61"/>
      <x:c r="N21" s="61"/>
      <x:c r="O21" s="61"/>
      <x:c r="P21" s="61"/>
      <x:c r="Q21" s="61"/>
      <x:c r="R21" s="61"/>
      <x:c r="S21" s="61"/>
      <x:c r="T21" s="61"/>
      <x:c r="U21" s="61"/>
      <x:c r="V21" s="61"/>
      <x:c r="W21" s="61"/>
      <x:c r="X21" s="61"/>
      <x:c r="Y21" s="61"/>
      <x:c r="Z21" s="61"/>
    </x:row>
    <x:row r="22">
      <x:c r="A22" s="61"/>
      <x:c r="B22" s="61"/>
      <x:c r="C22" s="61"/>
      <x:c r="D22" s="61"/>
      <x:c r="E22" s="61"/>
      <x:c r="F22" s="61"/>
      <x:c r="G22" s="61"/>
      <x:c r="H22" s="61"/>
      <x:c r="I22" s="61"/>
      <x:c r="J22" s="61"/>
      <x:c r="K22" s="61"/>
      <x:c r="L22" s="61"/>
      <x:c r="M22" s="61"/>
      <x:c r="N22" s="61"/>
      <x:c r="O22" s="61"/>
      <x:c r="P22" s="61"/>
      <x:c r="Q22" s="61"/>
      <x:c r="R22" s="61"/>
      <x:c r="S22" s="61"/>
      <x:c r="T22" s="61"/>
      <x:c r="U22" s="61"/>
      <x:c r="V22" s="61"/>
      <x:c r="W22" s="61"/>
      <x:c r="X22" s="61"/>
      <x:c r="Y22" s="61"/>
      <x:c r="Z22" s="61"/>
    </x:row>
    <x:row r="23">
      <x:c r="A23" s="61"/>
      <x:c r="B23" s="61"/>
      <x:c r="C23" s="61"/>
      <x:c r="D23" s="61"/>
      <x:c r="E23" s="61"/>
      <x:c r="F23" s="61"/>
      <x:c r="G23" s="61"/>
      <x:c r="H23" s="61"/>
      <x:c r="I23" s="61"/>
      <x:c r="J23" s="61"/>
      <x:c r="K23" s="61"/>
      <x:c r="L23" s="61"/>
      <x:c r="M23" s="61"/>
      <x:c r="N23" s="61"/>
      <x:c r="O23" s="61"/>
      <x:c r="P23" s="61"/>
      <x:c r="Q23" s="61"/>
      <x:c r="R23" s="61"/>
      <x:c r="S23" s="61"/>
      <x:c r="T23" s="61"/>
      <x:c r="U23" s="61"/>
      <x:c r="V23" s="61"/>
      <x:c r="W23" s="61"/>
      <x:c r="X23" s="61"/>
      <x:c r="Y23" s="61"/>
      <x:c r="Z23" s="61"/>
    </x:row>
    <x:row r="24">
      <x:c r="A24" s="61"/>
      <x:c r="B24" s="61"/>
      <x:c r="C24" s="61"/>
      <x:c r="D24" s="61"/>
      <x:c r="E24" s="61"/>
      <x:c r="F24" s="61"/>
      <x:c r="G24" s="61"/>
      <x:c r="H24" s="61"/>
      <x:c r="I24" s="61"/>
      <x:c r="J24" s="61"/>
      <x:c r="K24" s="61"/>
      <x:c r="L24" s="61"/>
      <x:c r="M24" s="61"/>
      <x:c r="N24" s="61"/>
      <x:c r="O24" s="61"/>
      <x:c r="P24" s="61"/>
      <x:c r="Q24" s="61"/>
      <x:c r="R24" s="61"/>
      <x:c r="S24" s="61"/>
      <x:c r="T24" s="61"/>
      <x:c r="U24" s="61"/>
      <x:c r="V24" s="61"/>
      <x:c r="W24" s="61"/>
      <x:c r="X24" s="61"/>
      <x:c r="Y24" s="61"/>
      <x:c r="Z24" s="61"/>
    </x:row>
    <x:row r="25">
      <x:c r="A25" s="61"/>
      <x:c r="B25" s="61"/>
      <x:c r="C25" s="61"/>
      <x:c r="D25" s="61"/>
      <x:c r="E25" s="61"/>
      <x:c r="F25" s="61"/>
      <x:c r="G25" s="61"/>
      <x:c r="H25" s="61"/>
      <x:c r="I25" s="61"/>
      <x:c r="J25" s="61"/>
      <x:c r="K25" s="61"/>
      <x:c r="L25" s="61"/>
      <x:c r="M25" s="61"/>
      <x:c r="N25" s="61"/>
      <x:c r="O25" s="61"/>
      <x:c r="P25" s="61"/>
      <x:c r="Q25" s="61"/>
      <x:c r="R25" s="61"/>
      <x:c r="S25" s="61"/>
      <x:c r="T25" s="61"/>
      <x:c r="U25" s="61"/>
      <x:c r="V25" s="61"/>
      <x:c r="W25" s="61"/>
      <x:c r="X25" s="61"/>
      <x:c r="Y25" s="61"/>
      <x:c r="Z25" s="61"/>
    </x:row>
    <x:row r="26">
      <x:c r="A26" s="61"/>
      <x:c r="B26" s="61"/>
      <x:c r="C26" s="61"/>
      <x:c r="D26" s="61"/>
      <x:c r="E26" s="61"/>
      <x:c r="F26" s="61"/>
      <x:c r="G26" s="61"/>
      <x:c r="H26" s="61"/>
      <x:c r="I26" s="61"/>
      <x:c r="J26" s="61"/>
      <x:c r="K26" s="61"/>
      <x:c r="L26" s="61"/>
      <x:c r="M26" s="61"/>
      <x:c r="N26" s="61"/>
      <x:c r="O26" s="61"/>
      <x:c r="P26" s="61"/>
      <x:c r="Q26" s="61"/>
      <x:c r="R26" s="61"/>
      <x:c r="S26" s="61"/>
      <x:c r="T26" s="61"/>
      <x:c r="U26" s="61"/>
      <x:c r="V26" s="61"/>
      <x:c r="W26" s="61"/>
      <x:c r="X26" s="61"/>
      <x:c r="Y26" s="61"/>
      <x:c r="Z26" s="61"/>
    </x:row>
    <x:row r="27">
      <x:c r="A27" s="61"/>
      <x:c r="B27" s="61"/>
      <x:c r="C27" s="61"/>
      <x:c r="D27" s="61"/>
      <x:c r="E27" s="61"/>
      <x:c r="F27" s="61"/>
      <x:c r="G27" s="61"/>
      <x:c r="H27" s="61"/>
      <x:c r="I27" s="61"/>
      <x:c r="J27" s="61"/>
      <x:c r="K27" s="61"/>
      <x:c r="L27" s="61"/>
      <x:c r="M27" s="61"/>
      <x:c r="N27" s="61"/>
      <x:c r="O27" s="61"/>
      <x:c r="P27" s="61"/>
      <x:c r="Q27" s="61"/>
      <x:c r="R27" s="61"/>
      <x:c r="S27" s="61"/>
      <x:c r="T27" s="61"/>
      <x:c r="U27" s="61"/>
      <x:c r="V27" s="61"/>
      <x:c r="W27" s="61"/>
      <x:c r="X27" s="61"/>
      <x:c r="Y27" s="61"/>
      <x:c r="Z27" s="61"/>
    </x:row>
    <x:row r="28">
      <x:c r="A28" s="61"/>
      <x:c r="B28" s="61"/>
      <x:c r="C28" s="61"/>
      <x:c r="D28" s="61"/>
      <x:c r="E28" s="61"/>
      <x:c r="F28" s="61"/>
      <x:c r="G28" s="61"/>
      <x:c r="H28" s="61"/>
      <x:c r="I28" s="61"/>
      <x:c r="J28" s="61"/>
      <x:c r="K28" s="61"/>
      <x:c r="L28" s="61"/>
      <x:c r="M28" s="61"/>
      <x:c r="N28" s="61"/>
      <x:c r="O28" s="61"/>
      <x:c r="P28" s="61"/>
      <x:c r="Q28" s="61"/>
      <x:c r="R28" s="61"/>
      <x:c r="S28" s="61"/>
      <x:c r="T28" s="61"/>
      <x:c r="U28" s="61"/>
      <x:c r="V28" s="61"/>
      <x:c r="W28" s="61"/>
      <x:c r="X28" s="61"/>
      <x:c r="Y28" s="61"/>
      <x:c r="Z28" s="61"/>
    </x:row>
    <x:row r="29">
      <x:c r="A29" s="61"/>
      <x:c r="B29" s="61"/>
      <x:c r="C29" s="61"/>
      <x:c r="D29" s="61"/>
      <x:c r="E29" s="61"/>
      <x:c r="F29" s="61"/>
      <x:c r="G29" s="61"/>
      <x:c r="H29" s="61"/>
      <x:c r="I29" s="61"/>
      <x:c r="J29" s="61"/>
      <x:c r="K29" s="61"/>
      <x:c r="L29" s="61"/>
      <x:c r="M29" s="61"/>
      <x:c r="N29" s="61"/>
      <x:c r="O29" s="61"/>
      <x:c r="P29" s="61"/>
      <x:c r="Q29" s="61"/>
      <x:c r="R29" s="61"/>
      <x:c r="S29" s="61"/>
      <x:c r="T29" s="61"/>
      <x:c r="U29" s="61"/>
      <x:c r="V29" s="61"/>
      <x:c r="W29" s="61"/>
      <x:c r="X29" s="61"/>
      <x:c r="Y29" s="61"/>
      <x:c r="Z29" s="61"/>
    </x:row>
    <x:row r="30">
      <x:c r="A30" s="61"/>
      <x:c r="B30" s="61"/>
      <x:c r="C30" s="61"/>
      <x:c r="D30" s="61"/>
      <x:c r="E30" s="61"/>
      <x:c r="F30" s="61"/>
      <x:c r="G30" s="61"/>
      <x:c r="H30" s="61"/>
      <x:c r="I30" s="61"/>
      <x:c r="J30" s="61"/>
      <x:c r="K30" s="61"/>
      <x:c r="L30" s="61"/>
      <x:c r="M30" s="61"/>
      <x:c r="N30" s="61"/>
      <x:c r="O30" s="61"/>
      <x:c r="P30" s="61"/>
      <x:c r="Q30" s="61"/>
      <x:c r="R30" s="61"/>
      <x:c r="S30" s="61"/>
      <x:c r="T30" s="61"/>
      <x:c r="U30" s="61"/>
      <x:c r="V30" s="61"/>
      <x:c r="W30" s="61"/>
      <x:c r="X30" s="61"/>
      <x:c r="Y30" s="61"/>
      <x:c r="Z30" s="61"/>
    </x:row>
    <x:row r="31">
      <x:c r="A31" s="61"/>
      <x:c r="B31" s="61"/>
      <x:c r="C31" s="61"/>
      <x:c r="D31" s="61"/>
      <x:c r="E31" s="61"/>
      <x:c r="F31" s="61"/>
      <x:c r="G31" s="61"/>
      <x:c r="H31" s="61"/>
      <x:c r="I31" s="61"/>
      <x:c r="J31" s="61"/>
      <x:c r="K31" s="61"/>
      <x:c r="L31" s="61"/>
      <x:c r="M31" s="61"/>
      <x:c r="N31" s="61"/>
      <x:c r="O31" s="61"/>
      <x:c r="P31" s="61"/>
      <x:c r="Q31" s="61"/>
      <x:c r="R31" s="61"/>
      <x:c r="S31" s="61"/>
      <x:c r="T31" s="61"/>
      <x:c r="U31" s="61"/>
      <x:c r="V31" s="61"/>
      <x:c r="W31" s="61"/>
      <x:c r="X31" s="61"/>
      <x:c r="Y31" s="61"/>
      <x:c r="Z31" s="61"/>
    </x:row>
    <x:row r="32">
      <x:c r="A32" s="61"/>
      <x:c r="B32" s="61"/>
      <x:c r="C32" s="61"/>
      <x:c r="D32" s="61"/>
      <x:c r="E32" s="61"/>
      <x:c r="F32" s="61"/>
      <x:c r="G32" s="61"/>
      <x:c r="H32" s="61"/>
      <x:c r="I32" s="61"/>
      <x:c r="J32" s="61"/>
      <x:c r="K32" s="61"/>
      <x:c r="L32" s="61"/>
      <x:c r="M32" s="61"/>
      <x:c r="N32" s="61"/>
      <x:c r="O32" s="61"/>
      <x:c r="P32" s="61"/>
      <x:c r="Q32" s="61"/>
      <x:c r="R32" s="61"/>
      <x:c r="S32" s="61"/>
      <x:c r="T32" s="61"/>
      <x:c r="U32" s="61"/>
      <x:c r="V32" s="61"/>
      <x:c r="W32" s="61"/>
      <x:c r="X32" s="61"/>
      <x:c r="Y32" s="61"/>
      <x:c r="Z32" s="61"/>
    </x:row>
    <x:row r="33">
      <x:c r="A33" s="61"/>
      <x:c r="B33" s="61"/>
      <x:c r="C33" s="61"/>
      <x:c r="D33" s="61"/>
      <x:c r="E33" s="61"/>
      <x:c r="F33" s="61"/>
      <x:c r="G33" s="61"/>
      <x:c r="H33" s="61"/>
      <x:c r="I33" s="61"/>
      <x:c r="J33" s="61"/>
      <x:c r="K33" s="61"/>
      <x:c r="L33" s="61"/>
      <x:c r="M33" s="61"/>
      <x:c r="N33" s="61"/>
      <x:c r="O33" s="61"/>
      <x:c r="P33" s="61"/>
      <x:c r="Q33" s="61"/>
      <x:c r="R33" s="61"/>
      <x:c r="S33" s="61"/>
      <x:c r="T33" s="61"/>
      <x:c r="U33" s="61"/>
      <x:c r="V33" s="61"/>
      <x:c r="W33" s="61"/>
      <x:c r="X33" s="61"/>
      <x:c r="Y33" s="61"/>
      <x:c r="Z33" s="61"/>
    </x:row>
    <x:row r="34">
      <x:c r="A34" s="61"/>
      <x:c r="B34" s="61"/>
      <x:c r="C34" s="61"/>
      <x:c r="D34" s="61"/>
      <x:c r="E34" s="61"/>
      <x:c r="F34" s="61"/>
      <x:c r="G34" s="61"/>
      <x:c r="H34" s="61"/>
      <x:c r="I34" s="61"/>
      <x:c r="J34" s="61"/>
      <x:c r="K34" s="61"/>
      <x:c r="L34" s="61"/>
      <x:c r="M34" s="61"/>
      <x:c r="N34" s="61"/>
      <x:c r="O34" s="61"/>
      <x:c r="P34" s="61"/>
      <x:c r="Q34" s="61"/>
      <x:c r="R34" s="61"/>
      <x:c r="S34" s="61"/>
      <x:c r="T34" s="61"/>
      <x:c r="U34" s="61"/>
      <x:c r="V34" s="61"/>
      <x:c r="W34" s="61"/>
      <x:c r="X34" s="61"/>
      <x:c r="Y34" s="61"/>
      <x:c r="Z34" s="61"/>
    </x:row>
    <x:row r="35">
      <x:c r="A35" s="61"/>
      <x:c r="B35" s="61"/>
      <x:c r="C35" s="61"/>
      <x:c r="D35" s="61"/>
      <x:c r="E35" s="61"/>
      <x:c r="F35" s="61"/>
      <x:c r="G35" s="61"/>
      <x:c r="H35" s="61"/>
      <x:c r="I35" s="61"/>
      <x:c r="J35" s="61"/>
      <x:c r="K35" s="61"/>
      <x:c r="L35" s="61"/>
      <x:c r="M35" s="61"/>
      <x:c r="N35" s="61"/>
      <x:c r="O35" s="61"/>
      <x:c r="P35" s="61"/>
      <x:c r="Q35" s="61"/>
      <x:c r="R35" s="61"/>
      <x:c r="S35" s="61"/>
      <x:c r="T35" s="61"/>
      <x:c r="U35" s="61"/>
      <x:c r="V35" s="61"/>
      <x:c r="W35" s="61"/>
      <x:c r="X35" s="61"/>
      <x:c r="Y35" s="61"/>
      <x:c r="Z35" s="61"/>
    </x:row>
    <x:row r="36">
      <x:c r="A36" s="61"/>
      <x:c r="B36" s="61"/>
      <x:c r="C36" s="61"/>
      <x:c r="D36" s="61"/>
      <x:c r="E36" s="61"/>
      <x:c r="F36" s="61"/>
      <x:c r="G36" s="61"/>
      <x:c r="H36" s="61"/>
      <x:c r="I36" s="61"/>
      <x:c r="J36" s="61"/>
      <x:c r="K36" s="61"/>
      <x:c r="L36" s="61"/>
      <x:c r="M36" s="61"/>
      <x:c r="N36" s="61"/>
      <x:c r="O36" s="61"/>
      <x:c r="P36" s="61"/>
      <x:c r="Q36" s="61"/>
      <x:c r="R36" s="61"/>
      <x:c r="S36" s="61"/>
      <x:c r="T36" s="61"/>
      <x:c r="U36" s="61"/>
      <x:c r="V36" s="61"/>
      <x:c r="W36" s="61"/>
      <x:c r="X36" s="61"/>
      <x:c r="Y36" s="61"/>
      <x:c r="Z36" s="61"/>
    </x:row>
    <x:row r="37">
      <x:c r="A37" s="61"/>
      <x:c r="B37" s="61"/>
      <x:c r="C37" s="61"/>
      <x:c r="D37" s="61"/>
      <x:c r="E37" s="61"/>
      <x:c r="F37" s="61"/>
      <x:c r="G37" s="61"/>
      <x:c r="H37" s="61"/>
      <x:c r="I37" s="61"/>
      <x:c r="J37" s="61"/>
      <x:c r="K37" s="61"/>
      <x:c r="L37" s="61"/>
      <x:c r="M37" s="61"/>
      <x:c r="N37" s="61"/>
      <x:c r="O37" s="61"/>
      <x:c r="P37" s="61"/>
      <x:c r="Q37" s="61"/>
      <x:c r="R37" s="61"/>
      <x:c r="S37" s="61"/>
      <x:c r="T37" s="61"/>
      <x:c r="U37" s="61"/>
      <x:c r="V37" s="61"/>
      <x:c r="W37" s="61"/>
      <x:c r="X37" s="61"/>
      <x:c r="Y37" s="61"/>
      <x:c r="Z37" s="61"/>
    </x:row>
    <x:row r="38">
      <x:c r="A38" s="61"/>
      <x:c r="B38" s="61"/>
      <x:c r="C38" s="61"/>
      <x:c r="D38" s="61"/>
      <x:c r="E38" s="61"/>
      <x:c r="F38" s="61"/>
      <x:c r="G38" s="61"/>
      <x:c r="H38" s="61"/>
      <x:c r="I38" s="61"/>
      <x:c r="J38" s="61"/>
      <x:c r="K38" s="61"/>
      <x:c r="L38" s="61"/>
      <x:c r="M38" s="61"/>
      <x:c r="N38" s="61"/>
      <x:c r="O38" s="61"/>
      <x:c r="P38" s="61"/>
      <x:c r="Q38" s="61"/>
      <x:c r="R38" s="61"/>
      <x:c r="S38" s="61"/>
      <x:c r="T38" s="61"/>
      <x:c r="U38" s="61"/>
      <x:c r="V38" s="61"/>
      <x:c r="W38" s="61"/>
      <x:c r="X38" s="61"/>
      <x:c r="Y38" s="61"/>
      <x:c r="Z38" s="61"/>
    </x:row>
    <x:row r="39">
      <x:c r="A39" s="61"/>
      <x:c r="B39" s="61"/>
      <x:c r="C39" s="61"/>
      <x:c r="D39" s="61"/>
      <x:c r="E39" s="61"/>
      <x:c r="F39" s="61"/>
      <x:c r="G39" s="61"/>
      <x:c r="H39" s="61"/>
      <x:c r="I39" s="61"/>
      <x:c r="J39" s="61"/>
      <x:c r="K39" s="61"/>
      <x:c r="L39" s="61"/>
      <x:c r="M39" s="61"/>
      <x:c r="N39" s="61"/>
      <x:c r="O39" s="61"/>
      <x:c r="P39" s="61"/>
      <x:c r="Q39" s="61"/>
      <x:c r="R39" s="61"/>
      <x:c r="S39" s="61"/>
      <x:c r="T39" s="61"/>
      <x:c r="U39" s="61"/>
      <x:c r="V39" s="61"/>
      <x:c r="W39" s="61"/>
      <x:c r="X39" s="61"/>
      <x:c r="Y39" s="61"/>
      <x:c r="Z39" s="61"/>
    </x:row>
    <x:row r="40">
      <x:c r="A40" s="61"/>
      <x:c r="B40" s="61"/>
      <x:c r="C40" s="61"/>
      <x:c r="D40" s="61"/>
      <x:c r="E40" s="61"/>
      <x:c r="F40" s="61"/>
      <x:c r="G40" s="61"/>
      <x:c r="H40" s="61"/>
      <x:c r="I40" s="61"/>
      <x:c r="J40" s="61"/>
      <x:c r="K40" s="61"/>
      <x:c r="L40" s="61"/>
      <x:c r="M40" s="61"/>
      <x:c r="N40" s="61"/>
      <x:c r="O40" s="61"/>
      <x:c r="P40" s="61"/>
      <x:c r="Q40" s="61"/>
      <x:c r="R40" s="61"/>
      <x:c r="S40" s="61"/>
      <x:c r="T40" s="61"/>
      <x:c r="U40" s="61"/>
      <x:c r="V40" s="61"/>
      <x:c r="W40" s="61"/>
      <x:c r="X40" s="61"/>
      <x:c r="Y40" s="61"/>
      <x:c r="Z40" s="61"/>
    </x:row>
    <x:row r="41">
      <x:c r="A41" s="61"/>
      <x:c r="B41" s="61"/>
      <x:c r="C41" s="61"/>
      <x:c r="D41" s="61"/>
      <x:c r="E41" s="61"/>
      <x:c r="F41" s="61"/>
      <x:c r="G41" s="61"/>
      <x:c r="H41" s="61"/>
      <x:c r="I41" s="61"/>
      <x:c r="J41" s="61"/>
      <x:c r="K41" s="61"/>
      <x:c r="L41" s="61"/>
      <x:c r="M41" s="61"/>
      <x:c r="N41" s="61"/>
      <x:c r="O41" s="61"/>
      <x:c r="P41" s="61"/>
      <x:c r="Q41" s="61"/>
      <x:c r="R41" s="61"/>
      <x:c r="S41" s="61"/>
      <x:c r="T41" s="61"/>
      <x:c r="U41" s="61"/>
      <x:c r="V41" s="61"/>
      <x:c r="W41" s="61"/>
      <x:c r="X41" s="61"/>
      <x:c r="Y41" s="61"/>
      <x:c r="Z41" s="61"/>
    </x:row>
    <x:row r="42">
      <x:c r="A42" s="61"/>
      <x:c r="B42" s="61"/>
      <x:c r="C42" s="61"/>
      <x:c r="D42" s="61"/>
      <x:c r="E42" s="61"/>
      <x:c r="F42" s="61"/>
      <x:c r="G42" s="61"/>
      <x:c r="H42" s="61"/>
      <x:c r="I42" s="61"/>
      <x:c r="J42" s="61"/>
      <x:c r="K42" s="61"/>
      <x:c r="L42" s="61"/>
      <x:c r="M42" s="61"/>
      <x:c r="N42" s="61"/>
      <x:c r="O42" s="61"/>
      <x:c r="P42" s="61"/>
      <x:c r="Q42" s="61"/>
      <x:c r="R42" s="61"/>
      <x:c r="S42" s="61"/>
      <x:c r="T42" s="61"/>
      <x:c r="U42" s="61"/>
      <x:c r="V42" s="61"/>
      <x:c r="W42" s="61"/>
      <x:c r="X42" s="61"/>
      <x:c r="Y42" s="61"/>
      <x:c r="Z42" s="61"/>
    </x:row>
    <x:row r="43">
      <x:c r="A43" s="61"/>
      <x:c r="B43" s="61"/>
      <x:c r="C43" s="61"/>
      <x:c r="D43" s="61"/>
      <x:c r="E43" s="61"/>
      <x:c r="F43" s="61"/>
      <x:c r="G43" s="61"/>
      <x:c r="H43" s="61"/>
      <x:c r="I43" s="61"/>
      <x:c r="J43" s="61"/>
      <x:c r="K43" s="61"/>
      <x:c r="L43" s="61"/>
      <x:c r="M43" s="61"/>
      <x:c r="N43" s="61"/>
      <x:c r="O43" s="61"/>
      <x:c r="P43" s="61"/>
      <x:c r="Q43" s="61"/>
      <x:c r="R43" s="61"/>
      <x:c r="S43" s="61"/>
      <x:c r="T43" s="61"/>
      <x:c r="U43" s="61"/>
      <x:c r="V43" s="61"/>
      <x:c r="W43" s="61"/>
      <x:c r="X43" s="61"/>
      <x:c r="Y43" s="61"/>
      <x:c r="Z43" s="61"/>
    </x:row>
    <x:row r="44">
      <x:c r="A44" s="61"/>
      <x:c r="B44" s="61"/>
      <x:c r="C44" s="61"/>
      <x:c r="D44" s="61"/>
      <x:c r="E44" s="61"/>
      <x:c r="F44" s="61"/>
      <x:c r="G44" s="61"/>
      <x:c r="H44" s="61"/>
      <x:c r="I44" s="61"/>
      <x:c r="J44" s="61"/>
      <x:c r="K44" s="61"/>
      <x:c r="L44" s="61"/>
      <x:c r="M44" s="61"/>
      <x:c r="N44" s="61"/>
      <x:c r="O44" s="61"/>
      <x:c r="P44" s="61"/>
      <x:c r="Q44" s="61"/>
      <x:c r="R44" s="61"/>
      <x:c r="S44" s="61"/>
      <x:c r="T44" s="61"/>
      <x:c r="U44" s="61"/>
      <x:c r="V44" s="61"/>
      <x:c r="W44" s="61"/>
      <x:c r="X44" s="61"/>
      <x:c r="Y44" s="61"/>
      <x:c r="Z44" s="61"/>
    </x:row>
    <x:row r="45">
      <x:c r="A45" s="61"/>
      <x:c r="B45" s="61"/>
      <x:c r="C45" s="61"/>
      <x:c r="D45" s="61"/>
      <x:c r="E45" s="61"/>
      <x:c r="F45" s="61"/>
      <x:c r="G45" s="61"/>
      <x:c r="H45" s="61"/>
      <x:c r="I45" s="61"/>
      <x:c r="J45" s="61"/>
      <x:c r="K45" s="61"/>
      <x:c r="L45" s="61"/>
      <x:c r="M45" s="61"/>
      <x:c r="N45" s="61"/>
      <x:c r="O45" s="61"/>
      <x:c r="P45" s="61"/>
      <x:c r="Q45" s="61"/>
      <x:c r="R45" s="61"/>
      <x:c r="S45" s="61"/>
      <x:c r="T45" s="61"/>
      <x:c r="U45" s="61"/>
      <x:c r="V45" s="61"/>
      <x:c r="W45" s="61"/>
      <x:c r="X45" s="61"/>
      <x:c r="Y45" s="61"/>
      <x:c r="Z45" s="61"/>
    </x:row>
    <x:row r="46">
      <x:c r="A46" s="61"/>
      <x:c r="B46" s="61"/>
      <x:c r="C46" s="61"/>
      <x:c r="D46" s="61"/>
      <x:c r="E46" s="61"/>
      <x:c r="F46" s="61"/>
      <x:c r="G46" s="61"/>
      <x:c r="H46" s="61"/>
      <x:c r="I46" s="61"/>
      <x:c r="J46" s="61"/>
      <x:c r="K46" s="61"/>
      <x:c r="L46" s="61"/>
      <x:c r="M46" s="61"/>
      <x:c r="N46" s="61"/>
      <x:c r="O46" s="61"/>
      <x:c r="P46" s="61"/>
      <x:c r="Q46" s="61"/>
      <x:c r="R46" s="61"/>
      <x:c r="S46" s="61"/>
      <x:c r="T46" s="61"/>
      <x:c r="U46" s="61"/>
      <x:c r="V46" s="61"/>
      <x:c r="W46" s="61"/>
      <x:c r="X46" s="61"/>
      <x:c r="Y46" s="61"/>
      <x:c r="Z46" s="61"/>
    </x:row>
    <x:row r="47">
      <x:c r="A47" s="61"/>
      <x:c r="B47" s="61"/>
      <x:c r="C47" s="61"/>
      <x:c r="D47" s="61"/>
      <x:c r="E47" s="61"/>
      <x:c r="F47" s="61"/>
      <x:c r="G47" s="61"/>
      <x:c r="H47" s="61"/>
      <x:c r="I47" s="61"/>
      <x:c r="J47" s="61"/>
      <x:c r="K47" s="61"/>
      <x:c r="L47" s="61"/>
      <x:c r="M47" s="61"/>
      <x:c r="N47" s="61"/>
      <x:c r="O47" s="61"/>
      <x:c r="P47" s="61"/>
      <x:c r="Q47" s="61"/>
      <x:c r="R47" s="61"/>
      <x:c r="S47" s="61"/>
      <x:c r="T47" s="61"/>
      <x:c r="U47" s="61"/>
      <x:c r="V47" s="61"/>
      <x:c r="W47" s="61"/>
      <x:c r="X47" s="61"/>
      <x:c r="Y47" s="61"/>
      <x:c r="Z47" s="61"/>
    </x:row>
    <x:row r="48">
      <x:c r="A48" s="61"/>
      <x:c r="B48" s="61"/>
      <x:c r="C48" s="61"/>
      <x:c r="D48" s="61"/>
      <x:c r="E48" s="61"/>
      <x:c r="F48" s="61"/>
      <x:c r="G48" s="61"/>
      <x:c r="H48" s="61"/>
      <x:c r="I48" s="61"/>
      <x:c r="J48" s="61"/>
      <x:c r="K48" s="61"/>
      <x:c r="L48" s="61"/>
      <x:c r="M48" s="61"/>
      <x:c r="N48" s="61"/>
      <x:c r="O48" s="61"/>
      <x:c r="P48" s="61"/>
      <x:c r="Q48" s="61"/>
      <x:c r="R48" s="61"/>
      <x:c r="S48" s="61"/>
      <x:c r="T48" s="61"/>
      <x:c r="U48" s="61"/>
      <x:c r="V48" s="61"/>
      <x:c r="W48" s="61"/>
      <x:c r="X48" s="61"/>
      <x:c r="Y48" s="61"/>
      <x:c r="Z48" s="61"/>
    </x:row>
    <x:row r="49">
      <x:c r="A49" s="61"/>
      <x:c r="B49" s="61"/>
      <x:c r="C49" s="61"/>
      <x:c r="D49" s="61"/>
      <x:c r="E49" s="61"/>
      <x:c r="F49" s="61"/>
      <x:c r="G49" s="61"/>
      <x:c r="H49" s="61"/>
      <x:c r="I49" s="61"/>
      <x:c r="J49" s="61"/>
      <x:c r="K49" s="61"/>
      <x:c r="L49" s="61"/>
      <x:c r="M49" s="61"/>
      <x:c r="N49" s="61"/>
      <x:c r="O49" s="61"/>
      <x:c r="P49" s="61"/>
      <x:c r="Q49" s="61"/>
      <x:c r="R49" s="61"/>
      <x:c r="S49" s="61"/>
      <x:c r="T49" s="61"/>
      <x:c r="U49" s="61"/>
      <x:c r="V49" s="61"/>
      <x:c r="W49" s="61"/>
      <x:c r="X49" s="61"/>
      <x:c r="Y49" s="61"/>
      <x:c r="Z49" s="61"/>
    </x:row>
    <x:row r="50">
      <x:c r="A50" s="61"/>
      <x:c r="B50" s="61"/>
      <x:c r="C50" s="61"/>
      <x:c r="D50" s="61"/>
      <x:c r="E50" s="61"/>
      <x:c r="F50" s="61"/>
      <x:c r="G50" s="61"/>
      <x:c r="H50" s="61"/>
      <x:c r="I50" s="61"/>
      <x:c r="J50" s="61"/>
      <x:c r="K50" s="61"/>
      <x:c r="L50" s="61"/>
      <x:c r="M50" s="61"/>
      <x:c r="N50" s="61"/>
      <x:c r="O50" s="61"/>
      <x:c r="P50" s="61"/>
      <x:c r="Q50" s="61"/>
      <x:c r="R50" s="61"/>
      <x:c r="S50" s="61"/>
      <x:c r="T50" s="61"/>
      <x:c r="U50" s="61"/>
      <x:c r="V50" s="61"/>
      <x:c r="W50" s="61"/>
      <x:c r="X50" s="61"/>
      <x:c r="Y50" s="61"/>
      <x:c r="Z50" s="61"/>
    </x:row>
    <x:row r="51">
      <x:c r="A51" s="61"/>
      <x:c r="B51" s="61"/>
      <x:c r="C51" s="61"/>
      <x:c r="D51" s="61"/>
      <x:c r="E51" s="61"/>
      <x:c r="F51" s="61"/>
      <x:c r="G51" s="61"/>
      <x:c r="H51" s="61"/>
      <x:c r="I51" s="61"/>
      <x:c r="J51" s="61"/>
      <x:c r="K51" s="61"/>
      <x:c r="L51" s="61"/>
      <x:c r="M51" s="61"/>
      <x:c r="N51" s="61"/>
      <x:c r="O51" s="61"/>
      <x:c r="P51" s="61"/>
      <x:c r="Q51" s="61"/>
      <x:c r="R51" s="61"/>
      <x:c r="S51" s="61"/>
      <x:c r="T51" s="61"/>
      <x:c r="U51" s="61"/>
      <x:c r="V51" s="61"/>
      <x:c r="W51" s="61"/>
      <x:c r="X51" s="61"/>
      <x:c r="Y51" s="61"/>
      <x:c r="Z51" s="61"/>
    </x:row>
    <x:row r="52">
      <x:c r="A52" s="61"/>
      <x:c r="B52" s="61"/>
      <x:c r="C52" s="61"/>
      <x:c r="D52" s="61"/>
      <x:c r="E52" s="61"/>
      <x:c r="F52" s="61"/>
      <x:c r="G52" s="61"/>
      <x:c r="H52" s="61"/>
      <x:c r="I52" s="61"/>
      <x:c r="J52" s="61"/>
      <x:c r="K52" s="61"/>
      <x:c r="L52" s="61"/>
      <x:c r="M52" s="61"/>
      <x:c r="N52" s="61"/>
      <x:c r="O52" s="61"/>
      <x:c r="P52" s="61"/>
      <x:c r="Q52" s="61"/>
      <x:c r="R52" s="61"/>
      <x:c r="S52" s="61"/>
      <x:c r="T52" s="61"/>
      <x:c r="U52" s="61"/>
      <x:c r="V52" s="61"/>
      <x:c r="W52" s="61"/>
      <x:c r="X52" s="61"/>
      <x:c r="Y52" s="61"/>
      <x:c r="Z52" s="61"/>
    </x:row>
    <x:row r="53">
      <x:c r="A53" s="61"/>
      <x:c r="B53" s="61"/>
      <x:c r="C53" s="61"/>
      <x:c r="D53" s="61"/>
      <x:c r="E53" s="61"/>
      <x:c r="F53" s="61"/>
      <x:c r="G53" s="61"/>
      <x:c r="H53" s="61"/>
      <x:c r="I53" s="61"/>
      <x:c r="J53" s="61"/>
      <x:c r="K53" s="61"/>
      <x:c r="L53" s="61"/>
      <x:c r="M53" s="61"/>
      <x:c r="N53" s="61"/>
      <x:c r="O53" s="61"/>
      <x:c r="P53" s="61"/>
      <x:c r="Q53" s="61"/>
      <x:c r="R53" s="61"/>
      <x:c r="S53" s="61"/>
      <x:c r="T53" s="61"/>
      <x:c r="U53" s="61"/>
      <x:c r="V53" s="61"/>
      <x:c r="W53" s="61"/>
      <x:c r="X53" s="61"/>
      <x:c r="Y53" s="61"/>
      <x:c r="Z53" s="61"/>
    </x:row>
    <x:row r="54">
      <x:c r="A54" s="61"/>
      <x:c r="B54" s="61"/>
      <x:c r="C54" s="61"/>
      <x:c r="D54" s="61"/>
      <x:c r="E54" s="61"/>
      <x:c r="F54" s="61"/>
      <x:c r="G54" s="61"/>
      <x:c r="H54" s="61"/>
      <x:c r="I54" s="61"/>
      <x:c r="J54" s="61"/>
      <x:c r="K54" s="61"/>
      <x:c r="L54" s="61"/>
      <x:c r="M54" s="61"/>
      <x:c r="N54" s="61"/>
      <x:c r="O54" s="61"/>
      <x:c r="P54" s="61"/>
      <x:c r="Q54" s="61"/>
      <x:c r="R54" s="61"/>
      <x:c r="S54" s="61"/>
      <x:c r="T54" s="61"/>
      <x:c r="U54" s="61"/>
      <x:c r="V54" s="61"/>
      <x:c r="W54" s="61"/>
      <x:c r="X54" s="61"/>
      <x:c r="Y54" s="61"/>
      <x:c r="Z54" s="61"/>
    </x:row>
    <x:row r="55">
      <x:c r="A55" s="61"/>
      <x:c r="B55" s="61"/>
      <x:c r="C55" s="61"/>
      <x:c r="D55" s="61"/>
      <x:c r="E55" s="61"/>
      <x:c r="F55" s="61"/>
      <x:c r="G55" s="61"/>
      <x:c r="H55" s="61"/>
      <x:c r="I55" s="61"/>
      <x:c r="J55" s="61"/>
      <x:c r="K55" s="61"/>
      <x:c r="L55" s="61"/>
      <x:c r="M55" s="61"/>
      <x:c r="N55" s="61"/>
      <x:c r="O55" s="61"/>
      <x:c r="P55" s="61"/>
      <x:c r="Q55" s="61"/>
      <x:c r="R55" s="61"/>
      <x:c r="S55" s="61"/>
      <x:c r="T55" s="61"/>
      <x:c r="U55" s="61"/>
      <x:c r="V55" s="61"/>
      <x:c r="W55" s="61"/>
      <x:c r="X55" s="61"/>
      <x:c r="Y55" s="61"/>
      <x:c r="Z55" s="61"/>
    </x:row>
    <x:row r="56">
      <x:c r="A56" s="61"/>
      <x:c r="B56" s="61"/>
      <x:c r="C56" s="61"/>
      <x:c r="D56" s="61"/>
      <x:c r="E56" s="61"/>
      <x:c r="F56" s="61"/>
      <x:c r="G56" s="61"/>
      <x:c r="H56" s="61"/>
      <x:c r="I56" s="61"/>
      <x:c r="J56" s="61"/>
      <x:c r="K56" s="61"/>
      <x:c r="L56" s="61"/>
      <x:c r="M56" s="61"/>
      <x:c r="N56" s="61"/>
      <x:c r="O56" s="61"/>
      <x:c r="P56" s="61"/>
      <x:c r="Q56" s="61"/>
      <x:c r="R56" s="61"/>
      <x:c r="S56" s="61"/>
      <x:c r="T56" s="61"/>
      <x:c r="U56" s="61"/>
      <x:c r="V56" s="61"/>
      <x:c r="W56" s="61"/>
      <x:c r="X56" s="61"/>
      <x:c r="Y56" s="61"/>
      <x:c r="Z56" s="61"/>
    </x:row>
    <x:row r="57">
      <x:c r="A57" s="61"/>
      <x:c r="B57" s="61"/>
      <x:c r="C57" s="61"/>
      <x:c r="D57" s="61"/>
      <x:c r="E57" s="61"/>
      <x:c r="F57" s="61"/>
      <x:c r="G57" s="61"/>
      <x:c r="H57" s="61"/>
      <x:c r="I57" s="61"/>
      <x:c r="J57" s="61"/>
      <x:c r="K57" s="61"/>
      <x:c r="L57" s="61"/>
      <x:c r="M57" s="61"/>
      <x:c r="N57" s="61"/>
      <x:c r="O57" s="61"/>
      <x:c r="P57" s="61"/>
      <x:c r="Q57" s="61"/>
      <x:c r="R57" s="61"/>
      <x:c r="S57" s="61"/>
      <x:c r="T57" s="61"/>
      <x:c r="U57" s="61"/>
      <x:c r="V57" s="61"/>
      <x:c r="W57" s="61"/>
      <x:c r="X57" s="61"/>
      <x:c r="Y57" s="61"/>
      <x:c r="Z57" s="61"/>
    </x:row>
    <x:row r="58">
      <x:c r="A58" s="61"/>
      <x:c r="B58" s="61"/>
      <x:c r="C58" s="61"/>
      <x:c r="D58" s="61"/>
      <x:c r="E58" s="61"/>
      <x:c r="F58" s="61"/>
      <x:c r="G58" s="61"/>
      <x:c r="H58" s="61"/>
      <x:c r="I58" s="61"/>
      <x:c r="J58" s="61"/>
      <x:c r="K58" s="61"/>
      <x:c r="L58" s="61"/>
      <x:c r="M58" s="61"/>
      <x:c r="N58" s="61"/>
      <x:c r="O58" s="61"/>
      <x:c r="P58" s="61"/>
      <x:c r="Q58" s="61"/>
      <x:c r="R58" s="61"/>
      <x:c r="S58" s="61"/>
      <x:c r="T58" s="61"/>
      <x:c r="U58" s="61"/>
      <x:c r="V58" s="61"/>
      <x:c r="W58" s="61"/>
      <x:c r="X58" s="61"/>
      <x:c r="Y58" s="61"/>
      <x:c r="Z58" s="61"/>
    </x:row>
    <x:row r="59">
      <x:c r="A59" s="61"/>
      <x:c r="B59" s="61"/>
      <x:c r="C59" s="61"/>
      <x:c r="D59" s="61"/>
      <x:c r="E59" s="61"/>
      <x:c r="F59" s="61"/>
      <x:c r="G59" s="61"/>
      <x:c r="H59" s="61"/>
      <x:c r="I59" s="61"/>
      <x:c r="J59" s="61"/>
      <x:c r="K59" s="61"/>
      <x:c r="L59" s="61"/>
      <x:c r="M59" s="61"/>
      <x:c r="N59" s="61"/>
      <x:c r="O59" s="61"/>
      <x:c r="P59" s="61"/>
      <x:c r="Q59" s="61"/>
      <x:c r="R59" s="61"/>
      <x:c r="S59" s="61"/>
      <x:c r="T59" s="61"/>
      <x:c r="U59" s="61"/>
      <x:c r="V59" s="61"/>
      <x:c r="W59" s="61"/>
      <x:c r="X59" s="61"/>
      <x:c r="Y59" s="61"/>
      <x:c r="Z59" s="61"/>
    </x:row>
    <x:row r="60">
      <x:c r="A60" s="61"/>
      <x:c r="B60" s="61"/>
      <x:c r="C60" s="61"/>
      <x:c r="D60" s="61"/>
      <x:c r="E60" s="61"/>
      <x:c r="F60" s="61"/>
      <x:c r="G60" s="61"/>
      <x:c r="H60" s="61"/>
      <x:c r="I60" s="61"/>
      <x:c r="J60" s="61"/>
      <x:c r="K60" s="61"/>
      <x:c r="L60" s="61"/>
      <x:c r="M60" s="61"/>
      <x:c r="N60" s="61"/>
      <x:c r="O60" s="61"/>
      <x:c r="P60" s="61"/>
      <x:c r="Q60" s="61"/>
      <x:c r="R60" s="61"/>
      <x:c r="S60" s="61"/>
      <x:c r="T60" s="61"/>
      <x:c r="U60" s="61"/>
      <x:c r="V60" s="61"/>
      <x:c r="W60" s="61"/>
      <x:c r="X60" s="61"/>
      <x:c r="Y60" s="61"/>
      <x:c r="Z60" s="61"/>
    </x:row>
    <x:row r="61">
      <x:c r="A61" s="61"/>
      <x:c r="B61" s="61"/>
      <x:c r="C61" s="61"/>
      <x:c r="D61" s="61"/>
      <x:c r="E61" s="61"/>
      <x:c r="F61" s="61"/>
      <x:c r="G61" s="61"/>
      <x:c r="H61" s="61"/>
      <x:c r="I61" s="61"/>
      <x:c r="J61" s="61"/>
      <x:c r="K61" s="61"/>
      <x:c r="L61" s="61"/>
      <x:c r="M61" s="61"/>
      <x:c r="N61" s="61"/>
      <x:c r="O61" s="61"/>
      <x:c r="P61" s="61"/>
      <x:c r="Q61" s="61"/>
      <x:c r="R61" s="61"/>
      <x:c r="S61" s="61"/>
      <x:c r="T61" s="61"/>
      <x:c r="U61" s="61"/>
      <x:c r="V61" s="61"/>
      <x:c r="W61" s="61"/>
      <x:c r="X61" s="61"/>
      <x:c r="Y61" s="61"/>
      <x:c r="Z61" s="61"/>
    </x:row>
    <x:row r="62">
      <x:c r="A62" s="61"/>
      <x:c r="B62" s="61"/>
      <x:c r="C62" s="61"/>
      <x:c r="D62" s="61"/>
      <x:c r="E62" s="61"/>
      <x:c r="F62" s="61"/>
      <x:c r="G62" s="61"/>
      <x:c r="H62" s="61"/>
      <x:c r="I62" s="61"/>
      <x:c r="J62" s="61"/>
      <x:c r="K62" s="61"/>
      <x:c r="L62" s="61"/>
      <x:c r="M62" s="61"/>
      <x:c r="N62" s="61"/>
      <x:c r="O62" s="61"/>
      <x:c r="P62" s="61"/>
      <x:c r="Q62" s="61"/>
      <x:c r="R62" s="61"/>
      <x:c r="S62" s="61"/>
      <x:c r="T62" s="61"/>
      <x:c r="U62" s="61"/>
      <x:c r="V62" s="61"/>
      <x:c r="W62" s="61"/>
      <x:c r="X62" s="61"/>
      <x:c r="Y62" s="61"/>
      <x:c r="Z62" s="61"/>
    </x:row>
    <x:row r="63">
      <x:c r="A63" s="61"/>
      <x:c r="B63" s="61"/>
      <x:c r="C63" s="61"/>
      <x:c r="D63" s="61"/>
      <x:c r="E63" s="61"/>
      <x:c r="F63" s="61"/>
      <x:c r="G63" s="61"/>
      <x:c r="H63" s="61"/>
      <x:c r="I63" s="61"/>
      <x:c r="J63" s="61"/>
      <x:c r="K63" s="61"/>
      <x:c r="L63" s="61"/>
      <x:c r="M63" s="61"/>
      <x:c r="N63" s="61"/>
      <x:c r="O63" s="61"/>
      <x:c r="P63" s="61"/>
      <x:c r="Q63" s="61"/>
      <x:c r="R63" s="61"/>
      <x:c r="S63" s="61"/>
      <x:c r="T63" s="61"/>
      <x:c r="U63" s="61"/>
      <x:c r="V63" s="61"/>
      <x:c r="W63" s="61"/>
      <x:c r="X63" s="61"/>
      <x:c r="Y63" s="61"/>
      <x:c r="Z63" s="61"/>
    </x:row>
    <x:row r="64">
      <x:c r="A64" s="61"/>
      <x:c r="B64" s="61"/>
      <x:c r="C64" s="61"/>
      <x:c r="D64" s="61"/>
      <x:c r="E64" s="61"/>
      <x:c r="F64" s="61"/>
      <x:c r="G64" s="61"/>
      <x:c r="H64" s="61"/>
      <x:c r="I64" s="61"/>
      <x:c r="J64" s="61"/>
      <x:c r="K64" s="61"/>
      <x:c r="L64" s="61"/>
      <x:c r="M64" s="61"/>
      <x:c r="N64" s="61"/>
      <x:c r="O64" s="61"/>
      <x:c r="P64" s="61"/>
      <x:c r="Q64" s="61"/>
      <x:c r="R64" s="61"/>
      <x:c r="S64" s="61"/>
      <x:c r="T64" s="61"/>
      <x:c r="U64" s="61"/>
      <x:c r="V64" s="61"/>
      <x:c r="W64" s="61"/>
      <x:c r="X64" s="61"/>
      <x:c r="Y64" s="61"/>
      <x:c r="Z64" s="61"/>
    </x:row>
    <x:row r="65">
      <x:c r="A65" s="61"/>
      <x:c r="B65" s="61"/>
      <x:c r="C65" s="61"/>
      <x:c r="D65" s="61"/>
      <x:c r="E65" s="61"/>
      <x:c r="F65" s="61"/>
      <x:c r="G65" s="61"/>
      <x:c r="H65" s="61"/>
      <x:c r="I65" s="61"/>
      <x:c r="J65" s="61"/>
      <x:c r="K65" s="61"/>
      <x:c r="L65" s="61"/>
      <x:c r="M65" s="61"/>
      <x:c r="N65" s="61"/>
      <x:c r="O65" s="61"/>
      <x:c r="P65" s="61"/>
      <x:c r="Q65" s="61"/>
      <x:c r="R65" s="61"/>
      <x:c r="S65" s="61"/>
      <x:c r="T65" s="61"/>
      <x:c r="U65" s="61"/>
      <x:c r="V65" s="61"/>
      <x:c r="W65" s="61"/>
      <x:c r="X65" s="61"/>
      <x:c r="Y65" s="61"/>
      <x:c r="Z65" s="61"/>
    </x:row>
    <x:row r="66">
      <x:c r="A66" s="61"/>
      <x:c r="B66" s="61"/>
      <x:c r="C66" s="61"/>
      <x:c r="D66" s="61"/>
      <x:c r="E66" s="61"/>
      <x:c r="F66" s="61"/>
      <x:c r="G66" s="61"/>
      <x:c r="H66" s="61"/>
      <x:c r="I66" s="61"/>
      <x:c r="J66" s="61"/>
      <x:c r="K66" s="61"/>
      <x:c r="L66" s="61"/>
      <x:c r="M66" s="61"/>
      <x:c r="N66" s="61"/>
      <x:c r="O66" s="61"/>
      <x:c r="P66" s="61"/>
      <x:c r="Q66" s="61"/>
      <x:c r="R66" s="61"/>
      <x:c r="S66" s="61"/>
      <x:c r="T66" s="61"/>
      <x:c r="U66" s="61"/>
      <x:c r="V66" s="61"/>
      <x:c r="W66" s="61"/>
      <x:c r="X66" s="61"/>
      <x:c r="Y66" s="61"/>
      <x:c r="Z66" s="61"/>
    </x:row>
    <x:row r="67">
      <x:c r="A67" s="61"/>
      <x:c r="B67" s="61"/>
      <x:c r="C67" s="61"/>
      <x:c r="D67" s="61"/>
      <x:c r="E67" s="61"/>
      <x:c r="F67" s="61"/>
      <x:c r="G67" s="61"/>
      <x:c r="H67" s="61"/>
      <x:c r="I67" s="61"/>
      <x:c r="J67" s="61"/>
      <x:c r="K67" s="61"/>
      <x:c r="L67" s="61"/>
      <x:c r="M67" s="61"/>
      <x:c r="N67" s="61"/>
      <x:c r="O67" s="61"/>
      <x:c r="P67" s="61"/>
      <x:c r="Q67" s="61"/>
      <x:c r="R67" s="61"/>
      <x:c r="S67" s="61"/>
      <x:c r="T67" s="61"/>
      <x:c r="U67" s="61"/>
      <x:c r="V67" s="61"/>
      <x:c r="W67" s="61"/>
      <x:c r="X67" s="61"/>
      <x:c r="Y67" s="61"/>
      <x:c r="Z67" s="61"/>
    </x:row>
    <x:row r="68">
      <x:c r="A68" s="61"/>
      <x:c r="B68" s="61"/>
      <x:c r="C68" s="61"/>
      <x:c r="D68" s="61"/>
      <x:c r="E68" s="61"/>
      <x:c r="F68" s="61"/>
      <x:c r="G68" s="61"/>
      <x:c r="H68" s="61"/>
      <x:c r="I68" s="61"/>
      <x:c r="J68" s="61"/>
      <x:c r="K68" s="61"/>
      <x:c r="L68" s="61"/>
      <x:c r="M68" s="61"/>
      <x:c r="N68" s="61"/>
      <x:c r="O68" s="61"/>
      <x:c r="P68" s="61"/>
      <x:c r="Q68" s="61"/>
      <x:c r="R68" s="61"/>
      <x:c r="S68" s="61"/>
      <x:c r="T68" s="61"/>
      <x:c r="U68" s="61"/>
      <x:c r="V68" s="61"/>
      <x:c r="W68" s="61"/>
      <x:c r="X68" s="61"/>
      <x:c r="Y68" s="61"/>
      <x:c r="Z68" s="61"/>
    </x:row>
    <x:row r="69">
      <x:c r="A69" s="61"/>
      <x:c r="B69" s="61"/>
      <x:c r="C69" s="61"/>
      <x:c r="D69" s="61"/>
      <x:c r="E69" s="61"/>
      <x:c r="F69" s="61"/>
      <x:c r="G69" s="61"/>
      <x:c r="H69" s="61"/>
      <x:c r="I69" s="61"/>
      <x:c r="J69" s="61"/>
      <x:c r="K69" s="61"/>
      <x:c r="L69" s="61"/>
      <x:c r="M69" s="61"/>
      <x:c r="N69" s="61"/>
      <x:c r="O69" s="61"/>
      <x:c r="P69" s="61"/>
      <x:c r="Q69" s="61"/>
      <x:c r="R69" s="61"/>
      <x:c r="S69" s="61"/>
      <x:c r="T69" s="61"/>
      <x:c r="U69" s="61"/>
      <x:c r="V69" s="61"/>
      <x:c r="W69" s="61"/>
      <x:c r="X69" s="61"/>
      <x:c r="Y69" s="61"/>
      <x:c r="Z69" s="61"/>
    </x:row>
    <x:row r="70">
      <x:c r="A70" s="61"/>
      <x:c r="B70" s="61"/>
      <x:c r="C70" s="61"/>
      <x:c r="D70" s="61"/>
      <x:c r="E70" s="61"/>
      <x:c r="F70" s="61"/>
      <x:c r="G70" s="61"/>
      <x:c r="H70" s="61"/>
      <x:c r="I70" s="61"/>
      <x:c r="J70" s="61"/>
      <x:c r="K70" s="61"/>
      <x:c r="L70" s="61"/>
      <x:c r="M70" s="61"/>
      <x:c r="N70" s="61"/>
      <x:c r="O70" s="61"/>
      <x:c r="P70" s="61"/>
      <x:c r="Q70" s="61"/>
      <x:c r="R70" s="61"/>
      <x:c r="S70" s="61"/>
      <x:c r="T70" s="61"/>
      <x:c r="U70" s="61"/>
      <x:c r="V70" s="61"/>
      <x:c r="W70" s="61"/>
      <x:c r="X70" s="61"/>
      <x:c r="Y70" s="61"/>
      <x:c r="Z70" s="61"/>
    </x:row>
    <x:row r="71">
      <x:c r="A71" s="61"/>
      <x:c r="B71" s="61"/>
      <x:c r="C71" s="61"/>
      <x:c r="D71" s="61"/>
      <x:c r="E71" s="61"/>
      <x:c r="F71" s="61"/>
      <x:c r="G71" s="61"/>
      <x:c r="H71" s="61"/>
      <x:c r="I71" s="61"/>
      <x:c r="J71" s="61"/>
      <x:c r="K71" s="61"/>
      <x:c r="L71" s="61"/>
      <x:c r="M71" s="61"/>
      <x:c r="N71" s="61"/>
      <x:c r="O71" s="61"/>
      <x:c r="P71" s="61"/>
      <x:c r="Q71" s="61"/>
      <x:c r="R71" s="61"/>
      <x:c r="S71" s="61"/>
      <x:c r="T71" s="61"/>
      <x:c r="U71" s="61"/>
      <x:c r="V71" s="61"/>
      <x:c r="W71" s="61"/>
      <x:c r="X71" s="61"/>
      <x:c r="Y71" s="61"/>
      <x:c r="Z71" s="61"/>
    </x:row>
    <x:row r="72">
      <x:c r="A72" s="61"/>
      <x:c r="B72" s="61"/>
      <x:c r="C72" s="61"/>
      <x:c r="D72" s="61"/>
      <x:c r="E72" s="61"/>
      <x:c r="F72" s="61"/>
      <x:c r="G72" s="61"/>
      <x:c r="H72" s="61"/>
      <x:c r="I72" s="61"/>
      <x:c r="J72" s="61"/>
      <x:c r="K72" s="61"/>
      <x:c r="L72" s="61"/>
      <x:c r="M72" s="61"/>
      <x:c r="N72" s="61"/>
      <x:c r="O72" s="61"/>
      <x:c r="P72" s="61"/>
      <x:c r="Q72" s="61"/>
      <x:c r="R72" s="61"/>
      <x:c r="S72" s="61"/>
      <x:c r="T72" s="61"/>
      <x:c r="U72" s="61"/>
      <x:c r="V72" s="61"/>
      <x:c r="W72" s="61"/>
      <x:c r="X72" s="61"/>
      <x:c r="Y72" s="61"/>
      <x:c r="Z72" s="61"/>
    </x:row>
    <x:row r="73">
      <x:c r="A73" s="61"/>
      <x:c r="B73" s="61"/>
      <x:c r="C73" s="61"/>
      <x:c r="D73" s="61"/>
      <x:c r="E73" s="61"/>
      <x:c r="F73" s="61"/>
      <x:c r="G73" s="61"/>
      <x:c r="H73" s="61"/>
      <x:c r="I73" s="61"/>
      <x:c r="J73" s="61"/>
      <x:c r="K73" s="61"/>
      <x:c r="L73" s="61"/>
      <x:c r="M73" s="61"/>
      <x:c r="N73" s="61"/>
      <x:c r="O73" s="61"/>
      <x:c r="P73" s="61"/>
      <x:c r="Q73" s="61"/>
      <x:c r="R73" s="61"/>
      <x:c r="S73" s="61"/>
      <x:c r="T73" s="61"/>
      <x:c r="U73" s="61"/>
      <x:c r="V73" s="61"/>
      <x:c r="W73" s="61"/>
      <x:c r="X73" s="61"/>
      <x:c r="Y73" s="61"/>
      <x:c r="Z73" s="61"/>
    </x:row>
    <x:row r="74">
      <x:c r="A74" s="61"/>
      <x:c r="B74" s="61"/>
      <x:c r="C74" s="61"/>
      <x:c r="D74" s="61"/>
      <x:c r="E74" s="61"/>
      <x:c r="F74" s="61"/>
      <x:c r="G74" s="61"/>
      <x:c r="H74" s="61"/>
      <x:c r="I74" s="61"/>
      <x:c r="J74" s="61"/>
      <x:c r="K74" s="61"/>
      <x:c r="L74" s="61"/>
      <x:c r="M74" s="61"/>
      <x:c r="N74" s="61"/>
      <x:c r="O74" s="61"/>
      <x:c r="P74" s="61"/>
      <x:c r="Q74" s="61"/>
      <x:c r="R74" s="61"/>
      <x:c r="S74" s="61"/>
      <x:c r="T74" s="61"/>
      <x:c r="U74" s="61"/>
      <x:c r="V74" s="61"/>
      <x:c r="W74" s="61"/>
      <x:c r="X74" s="61"/>
      <x:c r="Y74" s="61"/>
      <x:c r="Z74" s="61"/>
    </x:row>
    <x:row r="75">
      <x:c r="A75" s="61"/>
      <x:c r="B75" s="61"/>
      <x:c r="C75" s="61"/>
      <x:c r="D75" s="61"/>
      <x:c r="E75" s="61"/>
      <x:c r="F75" s="61"/>
      <x:c r="G75" s="61"/>
      <x:c r="H75" s="61"/>
      <x:c r="I75" s="61"/>
      <x:c r="J75" s="61"/>
      <x:c r="K75" s="61"/>
      <x:c r="L75" s="61"/>
      <x:c r="M75" s="61"/>
      <x:c r="N75" s="61"/>
      <x:c r="O75" s="61"/>
      <x:c r="P75" s="61"/>
      <x:c r="Q75" s="61"/>
      <x:c r="R75" s="61"/>
      <x:c r="S75" s="61"/>
      <x:c r="T75" s="61"/>
      <x:c r="U75" s="61"/>
      <x:c r="V75" s="61"/>
      <x:c r="W75" s="61"/>
      <x:c r="X75" s="61"/>
      <x:c r="Y75" s="61"/>
      <x:c r="Z75" s="61"/>
    </x:row>
    <x:row r="76">
      <x:c r="A76" s="61"/>
      <x:c r="B76" s="61"/>
      <x:c r="C76" s="61"/>
      <x:c r="D76" s="61"/>
      <x:c r="E76" s="61"/>
      <x:c r="F76" s="61"/>
      <x:c r="G76" s="61"/>
      <x:c r="H76" s="61"/>
      <x:c r="I76" s="61"/>
      <x:c r="J76" s="61"/>
      <x:c r="K76" s="61"/>
      <x:c r="L76" s="61"/>
      <x:c r="M76" s="61"/>
      <x:c r="N76" s="61"/>
      <x:c r="O76" s="61"/>
      <x:c r="P76" s="61"/>
      <x:c r="Q76" s="61"/>
      <x:c r="R76" s="61"/>
      <x:c r="S76" s="61"/>
      <x:c r="T76" s="61"/>
      <x:c r="U76" s="61"/>
      <x:c r="V76" s="61"/>
      <x:c r="W76" s="61"/>
      <x:c r="X76" s="61"/>
      <x:c r="Y76" s="61"/>
      <x:c r="Z76" s="61"/>
    </x:row>
    <x:row r="77">
      <x:c r="A77" s="61"/>
      <x:c r="B77" s="61"/>
      <x:c r="C77" s="61"/>
      <x:c r="D77" s="61"/>
      <x:c r="E77" s="61"/>
      <x:c r="F77" s="61"/>
      <x:c r="G77" s="61"/>
      <x:c r="H77" s="61"/>
      <x:c r="I77" s="61"/>
      <x:c r="J77" s="61"/>
      <x:c r="K77" s="61"/>
      <x:c r="L77" s="61"/>
      <x:c r="M77" s="61"/>
      <x:c r="N77" s="61"/>
      <x:c r="O77" s="61"/>
      <x:c r="P77" s="61"/>
      <x:c r="Q77" s="61"/>
      <x:c r="R77" s="61"/>
      <x:c r="S77" s="61"/>
      <x:c r="T77" s="61"/>
      <x:c r="U77" s="61"/>
      <x:c r="V77" s="61"/>
      <x:c r="W77" s="61"/>
      <x:c r="X77" s="61"/>
      <x:c r="Y77" s="61"/>
      <x:c r="Z77" s="61"/>
    </x:row>
    <x:row r="78">
      <x:c r="A78" s="61"/>
      <x:c r="B78" s="61"/>
      <x:c r="C78" s="61"/>
      <x:c r="D78" s="61"/>
      <x:c r="E78" s="61"/>
      <x:c r="F78" s="61"/>
      <x:c r="G78" s="61"/>
      <x:c r="H78" s="61"/>
      <x:c r="I78" s="61"/>
      <x:c r="J78" s="61"/>
      <x:c r="K78" s="61"/>
      <x:c r="L78" s="61"/>
      <x:c r="M78" s="61"/>
      <x:c r="N78" s="61"/>
      <x:c r="O78" s="61"/>
      <x:c r="P78" s="61"/>
      <x:c r="Q78" s="61"/>
      <x:c r="R78" s="61"/>
      <x:c r="S78" s="61"/>
      <x:c r="T78" s="61"/>
      <x:c r="U78" s="61"/>
      <x:c r="V78" s="61"/>
      <x:c r="W78" s="61"/>
      <x:c r="X78" s="61"/>
      <x:c r="Y78" s="61"/>
      <x:c r="Z78" s="61"/>
    </x:row>
    <x:row r="79">
      <x:c r="A79" s="61"/>
      <x:c r="B79" s="61"/>
      <x:c r="C79" s="61"/>
      <x:c r="D79" s="61"/>
      <x:c r="E79" s="61"/>
      <x:c r="F79" s="61"/>
      <x:c r="G79" s="61"/>
      <x:c r="H79" s="61"/>
      <x:c r="I79" s="61"/>
      <x:c r="J79" s="61"/>
      <x:c r="K79" s="61"/>
      <x:c r="L79" s="61"/>
      <x:c r="M79" s="61"/>
      <x:c r="N79" s="61"/>
      <x:c r="O79" s="61"/>
      <x:c r="P79" s="61"/>
      <x:c r="Q79" s="61"/>
      <x:c r="R79" s="61"/>
      <x:c r="S79" s="61"/>
      <x:c r="T79" s="61"/>
      <x:c r="U79" s="61"/>
      <x:c r="V79" s="61"/>
      <x:c r="W79" s="61"/>
      <x:c r="X79" s="61"/>
      <x:c r="Y79" s="61"/>
      <x:c r="Z79" s="61"/>
    </x:row>
    <x:row r="80">
      <x:c r="A80" s="61"/>
      <x:c r="B80" s="61"/>
      <x:c r="C80" s="61"/>
      <x:c r="D80" s="61"/>
      <x:c r="E80" s="61"/>
      <x:c r="F80" s="61"/>
      <x:c r="G80" s="61"/>
      <x:c r="H80" s="61"/>
      <x:c r="I80" s="61"/>
      <x:c r="J80" s="61"/>
      <x:c r="K80" s="61"/>
      <x:c r="L80" s="61"/>
      <x:c r="M80" s="61"/>
      <x:c r="N80" s="61"/>
      <x:c r="O80" s="61"/>
      <x:c r="P80" s="61"/>
      <x:c r="Q80" s="61"/>
      <x:c r="R80" s="61"/>
      <x:c r="S80" s="61"/>
      <x:c r="T80" s="61"/>
      <x:c r="U80" s="61"/>
      <x:c r="V80" s="61"/>
      <x:c r="W80" s="61"/>
      <x:c r="X80" s="61"/>
      <x:c r="Y80" s="61"/>
      <x:c r="Z80" s="61"/>
    </x:row>
    <x:row r="81">
      <x:c r="A81" s="61"/>
      <x:c r="B81" s="61"/>
      <x:c r="C81" s="61"/>
      <x:c r="D81" s="61"/>
      <x:c r="E81" s="61"/>
      <x:c r="F81" s="61"/>
      <x:c r="G81" s="61"/>
      <x:c r="H81" s="61"/>
      <x:c r="I81" s="61"/>
      <x:c r="J81" s="61"/>
      <x:c r="K81" s="61"/>
      <x:c r="L81" s="61"/>
      <x:c r="M81" s="61"/>
      <x:c r="N81" s="61"/>
      <x:c r="O81" s="61"/>
      <x:c r="P81" s="61"/>
      <x:c r="Q81" s="61"/>
      <x:c r="R81" s="61"/>
      <x:c r="S81" s="61"/>
      <x:c r="T81" s="61"/>
      <x:c r="U81" s="61"/>
      <x:c r="V81" s="61"/>
      <x:c r="W81" s="61"/>
      <x:c r="X81" s="61"/>
      <x:c r="Y81" s="61"/>
      <x:c r="Z81" s="61"/>
    </x:row>
    <x:row r="82">
      <x:c r="A82" s="61"/>
      <x:c r="B82" s="61"/>
      <x:c r="C82" s="61"/>
      <x:c r="D82" s="61"/>
      <x:c r="E82" s="61"/>
      <x:c r="F82" s="61"/>
      <x:c r="G82" s="61"/>
      <x:c r="H82" s="61"/>
      <x:c r="I82" s="61"/>
      <x:c r="J82" s="61"/>
      <x:c r="K82" s="61"/>
      <x:c r="L82" s="61"/>
      <x:c r="M82" s="61"/>
      <x:c r="N82" s="61"/>
      <x:c r="O82" s="61"/>
      <x:c r="P82" s="61"/>
      <x:c r="Q82" s="61"/>
      <x:c r="R82" s="61"/>
      <x:c r="S82" s="61"/>
      <x:c r="T82" s="61"/>
      <x:c r="U82" s="61"/>
      <x:c r="V82" s="61"/>
      <x:c r="W82" s="61"/>
      <x:c r="X82" s="61"/>
      <x:c r="Y82" s="61"/>
      <x:c r="Z82" s="61"/>
    </x:row>
    <x:row r="83">
      <x:c r="A83" s="61"/>
      <x:c r="B83" s="61"/>
      <x:c r="C83" s="61"/>
      <x:c r="D83" s="61"/>
      <x:c r="E83" s="61"/>
      <x:c r="F83" s="61"/>
      <x:c r="G83" s="61"/>
      <x:c r="H83" s="61"/>
      <x:c r="I83" s="61"/>
      <x:c r="J83" s="61"/>
      <x:c r="K83" s="61"/>
      <x:c r="L83" s="61"/>
      <x:c r="M83" s="61"/>
      <x:c r="N83" s="61"/>
      <x:c r="O83" s="61"/>
      <x:c r="P83" s="61"/>
      <x:c r="Q83" s="61"/>
      <x:c r="R83" s="61"/>
      <x:c r="S83" s="61"/>
      <x:c r="T83" s="61"/>
      <x:c r="U83" s="61"/>
      <x:c r="V83" s="61"/>
      <x:c r="W83" s="61"/>
      <x:c r="X83" s="61"/>
      <x:c r="Y83" s="61"/>
      <x:c r="Z83" s="61"/>
    </x:row>
    <x:row r="84">
      <x:c r="A84" s="61"/>
      <x:c r="B84" s="61"/>
      <x:c r="C84" s="61"/>
      <x:c r="D84" s="61"/>
      <x:c r="E84" s="61"/>
      <x:c r="F84" s="61"/>
      <x:c r="G84" s="61"/>
      <x:c r="H84" s="61"/>
      <x:c r="I84" s="61"/>
      <x:c r="J84" s="61"/>
      <x:c r="K84" s="61"/>
      <x:c r="L84" s="61"/>
      <x:c r="M84" s="61"/>
      <x:c r="N84" s="61"/>
      <x:c r="O84" s="61"/>
      <x:c r="P84" s="61"/>
      <x:c r="Q84" s="61"/>
      <x:c r="R84" s="61"/>
      <x:c r="S84" s="61"/>
      <x:c r="T84" s="61"/>
      <x:c r="U84" s="61"/>
      <x:c r="V84" s="61"/>
      <x:c r="W84" s="61"/>
      <x:c r="X84" s="61"/>
      <x:c r="Y84" s="61"/>
      <x:c r="Z84" s="61"/>
    </x:row>
    <x:row r="85">
      <x:c r="A85" s="61"/>
      <x:c r="B85" s="61"/>
      <x:c r="C85" s="61"/>
      <x:c r="D85" s="61"/>
      <x:c r="E85" s="61"/>
      <x:c r="F85" s="61"/>
      <x:c r="G85" s="61"/>
      <x:c r="H85" s="61"/>
      <x:c r="I85" s="61"/>
      <x:c r="J85" s="61"/>
      <x:c r="K85" s="61"/>
      <x:c r="L85" s="61"/>
      <x:c r="M85" s="61"/>
      <x:c r="N85" s="61"/>
      <x:c r="O85" s="61"/>
      <x:c r="P85" s="61"/>
      <x:c r="Q85" s="61"/>
      <x:c r="R85" s="61"/>
      <x:c r="S85" s="61"/>
      <x:c r="T85" s="61"/>
      <x:c r="U85" s="61"/>
      <x:c r="V85" s="61"/>
      <x:c r="W85" s="61"/>
      <x:c r="X85" s="61"/>
      <x:c r="Y85" s="61"/>
      <x:c r="Z85" s="61"/>
    </x:row>
    <x:row r="86">
      <x:c r="A86" s="61"/>
      <x:c r="B86" s="61"/>
      <x:c r="C86" s="61"/>
      <x:c r="D86" s="61"/>
      <x:c r="E86" s="61"/>
      <x:c r="F86" s="61"/>
      <x:c r="G86" s="61"/>
      <x:c r="H86" s="61"/>
      <x:c r="I86" s="61"/>
      <x:c r="J86" s="61"/>
      <x:c r="K86" s="61"/>
      <x:c r="L86" s="61"/>
      <x:c r="M86" s="61"/>
      <x:c r="N86" s="61"/>
      <x:c r="O86" s="61"/>
      <x:c r="P86" s="61"/>
      <x:c r="Q86" s="61"/>
      <x:c r="R86" s="61"/>
      <x:c r="S86" s="61"/>
      <x:c r="T86" s="61"/>
      <x:c r="U86" s="61"/>
      <x:c r="V86" s="61"/>
      <x:c r="W86" s="61"/>
      <x:c r="X86" s="61"/>
      <x:c r="Y86" s="61"/>
      <x:c r="Z86" s="61"/>
    </x:row>
    <x:row r="87">
      <x:c r="A87" s="61"/>
      <x:c r="B87" s="61"/>
      <x:c r="C87" s="61"/>
      <x:c r="D87" s="61"/>
      <x:c r="E87" s="61"/>
      <x:c r="F87" s="61"/>
      <x:c r="G87" s="61"/>
      <x:c r="H87" s="61"/>
      <x:c r="I87" s="61"/>
      <x:c r="J87" s="61"/>
      <x:c r="K87" s="61"/>
      <x:c r="L87" s="61"/>
      <x:c r="M87" s="61"/>
      <x:c r="N87" s="61"/>
      <x:c r="O87" s="61"/>
      <x:c r="P87" s="61"/>
      <x:c r="Q87" s="61"/>
      <x:c r="R87" s="61"/>
      <x:c r="S87" s="61"/>
      <x:c r="T87" s="61"/>
      <x:c r="U87" s="61"/>
      <x:c r="V87" s="61"/>
      <x:c r="W87" s="61"/>
      <x:c r="X87" s="61"/>
      <x:c r="Y87" s="61"/>
      <x:c r="Z87" s="61"/>
    </x:row>
    <x:row r="88">
      <x:c r="A88" s="61"/>
      <x:c r="B88" s="61"/>
      <x:c r="C88" s="61"/>
      <x:c r="D88" s="61"/>
      <x:c r="E88" s="61"/>
      <x:c r="F88" s="61"/>
      <x:c r="G88" s="61"/>
      <x:c r="H88" s="61"/>
      <x:c r="I88" s="61"/>
      <x:c r="J88" s="61"/>
      <x:c r="K88" s="61"/>
      <x:c r="L88" s="61"/>
      <x:c r="M88" s="61"/>
      <x:c r="N88" s="61"/>
      <x:c r="O88" s="61"/>
      <x:c r="P88" s="61"/>
      <x:c r="Q88" s="61"/>
      <x:c r="R88" s="61"/>
      <x:c r="S88" s="61"/>
      <x:c r="T88" s="61"/>
      <x:c r="U88" s="61"/>
      <x:c r="V88" s="61"/>
      <x:c r="W88" s="61"/>
      <x:c r="X88" s="61"/>
      <x:c r="Y88" s="61"/>
      <x:c r="Z88" s="61"/>
    </x:row>
    <x:row r="89">
      <x:c r="A89" s="61"/>
      <x:c r="B89" s="61"/>
      <x:c r="C89" s="61"/>
      <x:c r="D89" s="61"/>
      <x:c r="E89" s="61"/>
      <x:c r="F89" s="61"/>
      <x:c r="G89" s="61"/>
      <x:c r="H89" s="61"/>
      <x:c r="I89" s="61"/>
      <x:c r="J89" s="61"/>
      <x:c r="K89" s="61"/>
      <x:c r="L89" s="61"/>
      <x:c r="M89" s="61"/>
      <x:c r="N89" s="61"/>
      <x:c r="O89" s="61"/>
      <x:c r="P89" s="61"/>
      <x:c r="Q89" s="61"/>
      <x:c r="R89" s="61"/>
      <x:c r="S89" s="61"/>
      <x:c r="T89" s="61"/>
      <x:c r="U89" s="61"/>
      <x:c r="V89" s="61"/>
      <x:c r="W89" s="61"/>
      <x:c r="X89" s="61"/>
      <x:c r="Y89" s="61"/>
      <x:c r="Z89" s="61"/>
    </x:row>
    <x:row r="90">
      <x:c r="A90" s="61"/>
      <x:c r="B90" s="61"/>
      <x:c r="C90" s="61"/>
      <x:c r="D90" s="61"/>
      <x:c r="E90" s="61"/>
      <x:c r="F90" s="61"/>
      <x:c r="G90" s="61"/>
      <x:c r="H90" s="61"/>
      <x:c r="I90" s="61"/>
      <x:c r="J90" s="61"/>
      <x:c r="K90" s="61"/>
      <x:c r="L90" s="61"/>
      <x:c r="M90" s="61"/>
      <x:c r="N90" s="61"/>
      <x:c r="O90" s="61"/>
      <x:c r="P90" s="61"/>
      <x:c r="Q90" s="61"/>
      <x:c r="R90" s="61"/>
      <x:c r="S90" s="61"/>
      <x:c r="T90" s="61"/>
      <x:c r="U90" s="61"/>
      <x:c r="V90" s="61"/>
      <x:c r="W90" s="61"/>
      <x:c r="X90" s="61"/>
      <x:c r="Y90" s="61"/>
      <x:c r="Z90" s="61"/>
    </x:row>
    <x:row r="91">
      <x:c r="A91" s="61"/>
      <x:c r="B91" s="61"/>
      <x:c r="C91" s="61"/>
      <x:c r="D91" s="61"/>
      <x:c r="E91" s="61"/>
      <x:c r="F91" s="61"/>
      <x:c r="G91" s="61"/>
      <x:c r="H91" s="61"/>
      <x:c r="I91" s="61"/>
      <x:c r="J91" s="61"/>
      <x:c r="K91" s="61"/>
      <x:c r="L91" s="61"/>
      <x:c r="M91" s="61"/>
      <x:c r="N91" s="61"/>
      <x:c r="O91" s="61"/>
      <x:c r="P91" s="61"/>
      <x:c r="Q91" s="61"/>
      <x:c r="R91" s="61"/>
      <x:c r="S91" s="61"/>
      <x:c r="T91" s="61"/>
      <x:c r="U91" s="61"/>
      <x:c r="V91" s="61"/>
      <x:c r="W91" s="61"/>
      <x:c r="X91" s="61"/>
      <x:c r="Y91" s="61"/>
      <x:c r="Z91" s="61"/>
    </x:row>
    <x:row r="92">
      <x:c r="A92" s="61"/>
      <x:c r="B92" s="61"/>
      <x:c r="C92" s="61"/>
      <x:c r="D92" s="61"/>
      <x:c r="E92" s="61"/>
      <x:c r="F92" s="61"/>
      <x:c r="G92" s="61"/>
      <x:c r="H92" s="61"/>
      <x:c r="I92" s="61"/>
      <x:c r="J92" s="61"/>
      <x:c r="K92" s="61"/>
      <x:c r="L92" s="61"/>
      <x:c r="M92" s="61"/>
      <x:c r="N92" s="61"/>
      <x:c r="O92" s="61"/>
      <x:c r="P92" s="61"/>
      <x:c r="Q92" s="61"/>
      <x:c r="R92" s="61"/>
      <x:c r="S92" s="61"/>
      <x:c r="T92" s="61"/>
      <x:c r="U92" s="61"/>
      <x:c r="V92" s="61"/>
      <x:c r="W92" s="61"/>
      <x:c r="X92" s="61"/>
      <x:c r="Y92" s="61"/>
      <x:c r="Z92" s="61"/>
    </x:row>
    <x:row r="93">
      <x:c r="A93" s="61"/>
      <x:c r="B93" s="61"/>
      <x:c r="C93" s="61"/>
      <x:c r="D93" s="61"/>
      <x:c r="E93" s="61"/>
      <x:c r="F93" s="61"/>
      <x:c r="G93" s="61"/>
      <x:c r="H93" s="61"/>
      <x:c r="I93" s="61"/>
      <x:c r="J93" s="61"/>
      <x:c r="K93" s="61"/>
      <x:c r="L93" s="61"/>
      <x:c r="M93" s="61"/>
      <x:c r="N93" s="61"/>
      <x:c r="O93" s="61"/>
      <x:c r="P93" s="61"/>
      <x:c r="Q93" s="61"/>
      <x:c r="R93" s="61"/>
      <x:c r="S93" s="61"/>
      <x:c r="T93" s="61"/>
      <x:c r="U93" s="61"/>
      <x:c r="V93" s="61"/>
      <x:c r="W93" s="61"/>
      <x:c r="X93" s="61"/>
      <x:c r="Y93" s="61"/>
      <x:c r="Z93" s="61"/>
    </x:row>
    <x:row r="94">
      <x:c r="A94" s="61"/>
      <x:c r="B94" s="61"/>
      <x:c r="C94" s="61"/>
      <x:c r="D94" s="61"/>
      <x:c r="E94" s="61"/>
      <x:c r="F94" s="61"/>
      <x:c r="G94" s="61"/>
      <x:c r="H94" s="61"/>
      <x:c r="I94" s="61"/>
      <x:c r="J94" s="61"/>
      <x:c r="K94" s="61"/>
      <x:c r="L94" s="61"/>
      <x:c r="M94" s="61"/>
      <x:c r="N94" s="61"/>
      <x:c r="O94" s="61"/>
      <x:c r="P94" s="61"/>
      <x:c r="Q94" s="61"/>
      <x:c r="R94" s="61"/>
      <x:c r="S94" s="61"/>
      <x:c r="T94" s="61"/>
      <x:c r="U94" s="61"/>
      <x:c r="V94" s="61"/>
      <x:c r="W94" s="61"/>
      <x:c r="X94" s="61"/>
      <x:c r="Y94" s="61"/>
      <x:c r="Z94" s="61"/>
    </x:row>
    <x:row r="95">
      <x:c r="A95" s="61"/>
      <x:c r="B95" s="61"/>
      <x:c r="C95" s="61"/>
      <x:c r="D95" s="61"/>
      <x:c r="E95" s="61"/>
      <x:c r="F95" s="61"/>
      <x:c r="G95" s="61"/>
      <x:c r="H95" s="61"/>
      <x:c r="I95" s="61"/>
      <x:c r="J95" s="61"/>
      <x:c r="K95" s="61"/>
      <x:c r="L95" s="61"/>
      <x:c r="M95" s="61"/>
      <x:c r="N95" s="61"/>
      <x:c r="O95" s="61"/>
      <x:c r="P95" s="61"/>
      <x:c r="Q95" s="61"/>
      <x:c r="R95" s="61"/>
      <x:c r="S95" s="61"/>
      <x:c r="T95" s="61"/>
      <x:c r="U95" s="61"/>
      <x:c r="V95" s="61"/>
      <x:c r="W95" s="61"/>
      <x:c r="X95" s="61"/>
      <x:c r="Y95" s="61"/>
      <x:c r="Z95" s="61"/>
    </x:row>
    <x:row r="96">
      <x:c r="A96" s="61"/>
      <x:c r="B96" s="61"/>
      <x:c r="C96" s="61"/>
      <x:c r="D96" s="61"/>
      <x:c r="E96" s="61"/>
      <x:c r="F96" s="61"/>
      <x:c r="G96" s="61"/>
      <x:c r="H96" s="61"/>
      <x:c r="I96" s="61"/>
      <x:c r="J96" s="61"/>
      <x:c r="K96" s="61"/>
      <x:c r="L96" s="61"/>
      <x:c r="M96" s="61"/>
      <x:c r="N96" s="61"/>
      <x:c r="O96" s="61"/>
      <x:c r="P96" s="61"/>
      <x:c r="Q96" s="61"/>
      <x:c r="R96" s="61"/>
      <x:c r="S96" s="61"/>
      <x:c r="T96" s="61"/>
      <x:c r="U96" s="61"/>
      <x:c r="V96" s="61"/>
      <x:c r="W96" s="61"/>
      <x:c r="X96" s="61"/>
      <x:c r="Y96" s="61"/>
      <x:c r="Z96" s="61"/>
    </x:row>
    <x:row r="97">
      <x:c r="A97" s="61"/>
      <x:c r="B97" s="61"/>
      <x:c r="C97" s="61"/>
      <x:c r="D97" s="61"/>
      <x:c r="E97" s="61"/>
      <x:c r="F97" s="61"/>
      <x:c r="G97" s="61"/>
      <x:c r="H97" s="61"/>
      <x:c r="I97" s="61"/>
      <x:c r="J97" s="61"/>
      <x:c r="K97" s="61"/>
      <x:c r="L97" s="61"/>
      <x:c r="M97" s="61"/>
      <x:c r="N97" s="61"/>
      <x:c r="O97" s="61"/>
      <x:c r="P97" s="61"/>
      <x:c r="Q97" s="61"/>
      <x:c r="R97" s="61"/>
      <x:c r="S97" s="61"/>
      <x:c r="T97" s="61"/>
      <x:c r="U97" s="61"/>
      <x:c r="V97" s="61"/>
      <x:c r="W97" s="61"/>
      <x:c r="X97" s="61"/>
      <x:c r="Y97" s="61"/>
      <x:c r="Z97" s="61"/>
    </x:row>
    <x:row r="98">
      <x:c r="A98" s="61"/>
      <x:c r="B98" s="61"/>
      <x:c r="C98" s="61"/>
      <x:c r="D98" s="61"/>
      <x:c r="E98" s="61"/>
      <x:c r="F98" s="61"/>
      <x:c r="G98" s="61"/>
      <x:c r="H98" s="61"/>
      <x:c r="I98" s="61"/>
      <x:c r="J98" s="61"/>
      <x:c r="K98" s="61"/>
      <x:c r="L98" s="61"/>
      <x:c r="M98" s="61"/>
      <x:c r="N98" s="61"/>
      <x:c r="O98" s="61"/>
      <x:c r="P98" s="61"/>
      <x:c r="Q98" s="61"/>
      <x:c r="R98" s="61"/>
      <x:c r="S98" s="61"/>
      <x:c r="T98" s="61"/>
      <x:c r="U98" s="61"/>
      <x:c r="V98" s="61"/>
      <x:c r="W98" s="61"/>
      <x:c r="X98" s="61"/>
      <x:c r="Y98" s="61"/>
      <x:c r="Z98" s="61"/>
    </x:row>
    <x:row r="99">
      <x:c r="A99" s="61"/>
      <x:c r="B99" s="61"/>
      <x:c r="C99" s="61"/>
      <x:c r="D99" s="61"/>
      <x:c r="E99" s="61"/>
      <x:c r="F99" s="61"/>
      <x:c r="G99" s="61"/>
      <x:c r="H99" s="61"/>
      <x:c r="I99" s="61"/>
      <x:c r="J99" s="61"/>
      <x:c r="K99" s="61"/>
      <x:c r="L99" s="61"/>
      <x:c r="M99" s="61"/>
      <x:c r="N99" s="61"/>
      <x:c r="O99" s="61"/>
      <x:c r="P99" s="61"/>
      <x:c r="Q99" s="61"/>
      <x:c r="R99" s="61"/>
      <x:c r="S99" s="61"/>
      <x:c r="T99" s="61"/>
      <x:c r="U99" s="61"/>
      <x:c r="V99" s="61"/>
      <x:c r="W99" s="61"/>
      <x:c r="X99" s="61"/>
      <x:c r="Y99" s="61"/>
      <x:c r="Z99" s="61"/>
    </x:row>
    <x:row r="100">
      <x:c r="A100" s="61"/>
      <x:c r="B100" s="61"/>
      <x:c r="C100" s="61"/>
      <x:c r="D100" s="61"/>
      <x:c r="E100" s="61"/>
      <x:c r="F100" s="61"/>
      <x:c r="G100" s="61"/>
      <x:c r="H100" s="61"/>
      <x:c r="I100" s="61"/>
      <x:c r="J100" s="61"/>
      <x:c r="K100" s="61"/>
      <x:c r="L100" s="61"/>
      <x:c r="M100" s="61"/>
      <x:c r="N100" s="61"/>
      <x:c r="O100" s="61"/>
      <x:c r="P100" s="61"/>
      <x:c r="Q100" s="61"/>
      <x:c r="R100" s="61"/>
      <x:c r="S100" s="61"/>
      <x:c r="T100" s="61"/>
      <x:c r="U100" s="61"/>
      <x:c r="V100" s="61"/>
      <x:c r="W100" s="61"/>
      <x:c r="X100" s="61"/>
      <x:c r="Y100" s="61"/>
      <x:c r="Z100" s="61"/>
    </x:row>
  </x:sheetData>
  <x:mergeCells>
    <x:mergeCell ref="A1:D1"/>
    <x:mergeCell ref="A13:D15"/>
  </x:mergeCells>
  <x:pageMargins left="0.7" right="0.7" top="0.75" bottom="0.75" header="0.3" footer="0.3"/>
</x:worksheet>
</file>