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9e1c53946e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45c2c63901d5408d"/>
    <x:sheet xmlns:r="http://schemas.openxmlformats.org/officeDocument/2006/relationships" name="Risks &amp; Opportunities" sheetId="2" r:id="R83a56ee8aa9d4321"/>
    <x:sheet xmlns:r="http://schemas.openxmlformats.org/officeDocument/2006/relationships" name="Objectives P2" sheetId="3" r:id="R307ee20e99cd4ad0"/>
    <x:sheet xmlns:r="http://schemas.openxmlformats.org/officeDocument/2006/relationships" name="Management Actions" sheetId="4" r:id="Rd13cfb17d9f349ad"/>
    <x:sheet xmlns:r="http://schemas.openxmlformats.org/officeDocument/2006/relationships" name="Gate Results" sheetId="5" r:id="Rcee7eadb0f2a448c"/>
    <x:sheet xmlns:r="http://schemas.openxmlformats.org/officeDocument/2006/relationships" name="Review Inputs" sheetId="6" r:id="Re94b681e382645d5"/>
    <x:sheet xmlns:r="http://schemas.openxmlformats.org/officeDocument/2006/relationships" name="Read Me" sheetId="7" r:id="R2fb92d554e58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6"/>
      <x:color rgb="FF17324D"/>
      <x:name val="Carlito"/>
    </x:font>
    <x:font>
      <x:b/>
      <x:sz val="15"/>
      <x:color rgb="FF17324D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5"/>
      </x:patternFill>
    </x:fill>
    <x:fill>
      <x:patternFill patternType="solid">
        <x:fgColor rgb="FF256582"/>
      </x:patternFill>
    </x:fill>
    <x:fill>
      <x:patternFill patternType="solid">
        <x:fgColor rgb="FFFFF0C7"/>
      </x:patternFill>
    </x:fill>
  </x:fills>
  <x:borders count="8">
    <x:border/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  <x:border>
      <x:left style="medium">
        <x:color rgb="FFC69214"/>
      </x:left>
      <x:top style="medium">
        <x:color rgb="FFC69214"/>
      </x:top>
    </x:border>
    <x:border>
      <x:top style="medium">
        <x:color rgb="FFC69214"/>
      </x:top>
    </x:border>
    <x:border>
      <x:right style="medium">
        <x:color rgb="FFC69214"/>
      </x:right>
      <x:top style="medium">
        <x:color rgb="FFC69214"/>
      </x:top>
    </x:border>
    <x:border>
      <x:left style="medium">
        <x:color rgb="FFC69214"/>
      </x:left>
      <x:bottom style="medium">
        <x:color rgb="FFC69214"/>
      </x:bottom>
    </x:border>
    <x:border>
      <x:bottom style="medium">
        <x:color rgb="FFC69214"/>
      </x:bottom>
    </x:border>
    <x:border>
      <x:right style="medium">
        <x:color rgb="FFC69214"/>
      </x:right>
      <x:bottom style="medium">
        <x:color rgb="FFC69214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176B2C"/>
      </x:font>
      <x:fill>
        <x:patternFill patternType="solid">
          <x:bgColor rgb="FFDDF2E1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  <x:dxf>
      <x:font>
        <x:b/>
        <x:color rgb="FF8A5A00"/>
      </x:font>
      <x:fill>
        <x:patternFill patternType="solid"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238fb9f4e456a" /><Relationship Type="http://schemas.openxmlformats.org/officeDocument/2006/relationships/theme" Target="/xl/theme/theme1.xml" Id="R6ff82f8f84974666" /><Relationship Type="http://schemas.openxmlformats.org/officeDocument/2006/relationships/sharedStrings" Target="/xl/sharedStrings.xml" Id="R930e3e2586e14484" /><Relationship Type="http://schemas.openxmlformats.org/officeDocument/2006/relationships/worksheet" Target="/xl/worksheets/sheet1.xml" Id="R45c2c63901d5408d" /><Relationship Type="http://schemas.openxmlformats.org/officeDocument/2006/relationships/worksheet" Target="/xl/worksheets/sheet2.xml" Id="R83a56ee8aa9d4321" /><Relationship Type="http://schemas.openxmlformats.org/officeDocument/2006/relationships/worksheet" Target="/xl/worksheets/sheet3.xml" Id="R307ee20e99cd4ad0" /><Relationship Type="http://schemas.openxmlformats.org/officeDocument/2006/relationships/worksheet" Target="/xl/worksheets/sheet4.xml" Id="Rd13cfb17d9f349ad" /><Relationship Type="http://schemas.openxmlformats.org/officeDocument/2006/relationships/worksheet" Target="/xl/worksheets/sheet5.xml" Id="Rcee7eadb0f2a448c" /><Relationship Type="http://schemas.openxmlformats.org/officeDocument/2006/relationships/worksheet" Target="/xl/worksheets/sheet6.xml" Id="Re94b681e382645d5" /><Relationship Type="http://schemas.openxmlformats.org/officeDocument/2006/relationships/worksheet" Target="/xl/worksheets/sheet7.xml" Id="R2fb92d554e5841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546995253e4c4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AIMS Risk Scores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score</c:v>
          </c:tx>
          <c:cat>
            <c:strRef>
              <c:f>'Executive Dashboard'!$A$20:$A$26</c:f>
              <c:strCache>
                <c:ptCount val="0"/>
              </c:strCache>
            </c:strRef>
          </c:cat>
          <c:val>
            <c:numRef>
              <c:f>'Executive Dashboard'!$B$20:$B$26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546995253e4c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9a7a4831a148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3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2" t="str">
        <x:v>Duckworks AIMS Management Review Dashboard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5" t="str">
        <x:v>v1.5 | synthetic management-system cycle | review date 2026-09-08; gate scenario as of 2026-10-01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4">
      <x:c r="A4" s="10" t="str">
        <x:v>AIMS risks</x:v>
      </x:c>
      <x:c r="B4" s="10" t="str">
        <x:v>Critical</x:v>
      </x:c>
      <x:c r="C4" s="10" t="str">
        <x:v>High</x:v>
      </x:c>
      <x:c r="D4" s="10" t="str">
        <x:v>Moderate</x:v>
      </x:c>
      <x:c r="E4" s="10" t="str">
        <x:v>Opportunities</x:v>
      </x:c>
      <x:c r="F4" s="10" t="str">
        <x:v>Objectives met</x:v>
      </x:c>
      <x:c r="G4" s="10" t="str">
        <x:v>At risk</x:v>
      </x:c>
      <x:c r="H4" s="10" t="str">
        <x:v>Blocked</x:v>
      </x:c>
    </x:row>
    <x:row r="5" ht="30" customHeight="1">
      <x:c r="A5" s="13" t="n">
        <x:f>COUNTIF('Risks &amp; Opportunities'!B5:B12,"Risk")</x:f>
        <x:v>7</x:v>
      </x:c>
      <x:c r="B5" s="13" t="n">
        <x:f>COUNTIF('Risks &amp; Opportunities'!M5:M12,"Critical")</x:f>
        <x:v>1</x:v>
      </x:c>
      <x:c r="C5" s="13" t="n">
        <x:f>COUNTIF('Risks &amp; Opportunities'!M5:M12,"High")</x:f>
        <x:v>5</x:v>
      </x:c>
      <x:c r="D5" s="13" t="n">
        <x:f>COUNTIF('Risks &amp; Opportunities'!M5:M12,"Moderate")</x:f>
        <x:v>1</x:v>
      </x:c>
      <x:c r="E5" s="13" t="n">
        <x:f>COUNTIF('Risks &amp; Opportunities'!B5:B12,"Opportunity")</x:f>
        <x:v>1</x:v>
      </x:c>
      <x:c r="F5" s="13" t="n">
        <x:f>COUNTIF('Objectives P2'!I5:I12,"Met")</x:f>
        <x:v>3</x:v>
      </x:c>
      <x:c r="G5" s="13" t="n">
        <x:f>COUNTIF('Objectives P2'!I5:I12,"At risk")</x:f>
        <x:v>3</x:v>
      </x:c>
      <x:c r="H5" s="13" t="n">
        <x:f>COUNTIF('Objectives P2'!I5:I12,"Blocked")</x:f>
        <x:v>2</x:v>
      </x:c>
    </x:row>
    <x:row r="8">
      <x:c r="A8" s="10" t="str">
        <x:v>Actions</x:v>
      </x:c>
      <x:c r="B8" s="10" t="str">
        <x:v>Overdue escalation</x:v>
      </x:c>
      <x:c r="C8" s="10" t="str">
        <x:v>Blocked dependency</x:v>
      </x:c>
      <x:c r="D8" s="10" t="str">
        <x:v>Open monitoring</x:v>
      </x:c>
      <x:c r="E8" s="10" t="str">
        <x:v>Auto-closed</x:v>
      </x:c>
      <x:c r="F8" s="10" t="str">
        <x:v>Human decision required</x:v>
      </x:c>
    </x:row>
    <x:row r="9" ht="28" customHeight="1">
      <x:c r="A9" s="15" t="n">
        <x:f>COUNTA('Management Actions'!A5:A10)</x:f>
        <x:v>6</x:v>
      </x:c>
      <x:c r="B9" s="15" t="n">
        <x:f>COUNTIF('Gate Results'!C5:C10,"ESCALATE_OVERDUE")</x:f>
        <x:v>1</x:v>
      </x:c>
      <x:c r="C9" s="15" t="n">
        <x:f>COUNTIF('Gate Results'!C5:C10,"BLOCKED_DEPENDENCY")</x:f>
        <x:v>1</x:v>
      </x:c>
      <x:c r="D9" s="15" t="n">
        <x:f>COUNTIF('Gate Results'!C5:C10,"MONITOR_OPEN")</x:f>
        <x:v>4</x:v>
      </x:c>
      <x:c r="E9" s="15" t="n">
        <x:v>0</x:v>
      </x:c>
      <x:c r="F9" s="15" t="str">
        <x:v>Yes</x:v>
      </x:c>
    </x:row>
    <x:row r="12">
      <x:c r="A12" s="10" t="str">
        <x:v>Management decision</x:v>
      </x:c>
      <x:c r="B12" s="10" t="str">
        <x:v>Basis</x:v>
      </x:c>
      <x:c r="C12" s="10" t="str">
        <x:v>Assigned response</x:v>
      </x:c>
      <x:c r="D12" s="10" t="str">
        <x:v>Evidence boundary</x:v>
      </x:c>
    </x:row>
    <x:row r="13">
      <x:c r="A13" s="16" t="str">
        <x:v>Retain current system gates</x:v>
      </x:c>
      <x:c r="B13" s="16" t="str">
        <x:v>No new production-effectiveness or closure evidence</x:v>
      </x:c>
      <x:c r="C13" s="16" t="str">
        <x:v>Do not change system risk scores or lifecycle gates</x:v>
      </x:c>
      <x:c r="D13" s="16" t="str">
        <x:v>Synthetic review; no risk acceptance</x:v>
      </x:c>
    </x:row>
    <x:row r="14">
      <x:c r="A14" s="16" t="str">
        <x:v>Escalate AIMS-ACT-003</x:v>
      </x:c>
      <x:c r="B14" s="16" t="str">
        <x:v>Competence action is overdue in the gate scenario</x:v>
      </x:c>
      <x:c r="C14" s="16" t="str">
        <x:v>Human owner to reassess and record disposition</x:v>
      </x:c>
      <x:c r="D14" s="16" t="str">
        <x:v>Script cannot authorize or close</x:v>
      </x:c>
    </x:row>
    <x:row r="15">
      <x:c r="A15" s="16" t="str">
        <x:v>Maintain PondGPT restriction</x:v>
      </x:c>
      <x:c r="B15" s="16" t="str">
        <x:v>Five supplier conditions remain unresolved</x:v>
      </x:c>
      <x:c r="C15" s="16" t="str">
        <x:v>Track AIMS-ACT-002 as blocked dependency</x:v>
      </x:c>
      <x:c r="D15" s="16" t="str">
        <x:v>No broader-rollout approval</x:v>
      </x:c>
    </x:row>
    <x:row r="16">
      <x:c r="A16" s="16" t="str">
        <x:v>Prioritize operating evidence</x:v>
      </x:c>
      <x:c r="B16" s="16" t="str">
        <x:v>Only 3 of 6 registered systems have worked evidence</x:v>
      </x:c>
      <x:c r="C16" s="16" t="str">
        <x:v>Execute AIMS-ACT-004 and AIMS-ACT-006</x:v>
      </x:c>
      <x:c r="D16" s="16" t="str">
        <x:v>No production effectiveness claim</x:v>
      </x:c>
    </x:row>
    <x:row r="19">
      <x:c r="A19" s="10" t="str">
        <x:v>Risk</x:v>
      </x:c>
      <x:c r="B19" s="10" t="str">
        <x:v>Current score</x:v>
      </x:c>
    </x:row>
    <x:row r="20">
      <x:c r="A20" s="11" t="str">
        <x:f>'Risks &amp; Opportunities'!A5</x:f>
        <x:v>AR-01</x:v>
      </x:c>
      <x:c r="B20" s="11" t="str">
        <x:f>'Risks &amp; Opportunities'!L5</x:f>
        <x:v>12</x:v>
      </x:c>
    </x:row>
    <x:row r="21">
      <x:c r="A21" s="11" t="str">
        <x:f>'Risks &amp; Opportunities'!A6</x:f>
        <x:v>AR-02</x:v>
      </x:c>
      <x:c r="B21" s="11" t="str">
        <x:f>'Risks &amp; Opportunities'!L6</x:f>
        <x:v>8</x:v>
      </x:c>
    </x:row>
    <x:row r="22">
      <x:c r="A22" s="11" t="str">
        <x:f>'Risks &amp; Opportunities'!A7</x:f>
        <x:v>AR-03</x:v>
      </x:c>
      <x:c r="B22" s="11" t="str">
        <x:f>'Risks &amp; Opportunities'!L7</x:f>
        <x:v>15</x:v>
      </x:c>
    </x:row>
    <x:row r="23">
      <x:c r="A23" s="11" t="str">
        <x:f>'Risks &amp; Opportunities'!A8</x:f>
        <x:v>AR-04</x:v>
      </x:c>
      <x:c r="B23" s="11" t="str">
        <x:f>'Risks &amp; Opportunities'!L8</x:f>
        <x:v>15</x:v>
      </x:c>
    </x:row>
    <x:row r="24">
      <x:c r="A24" s="11" t="str">
        <x:f>'Risks &amp; Opportunities'!A9</x:f>
        <x:v>AR-05</x:v>
      </x:c>
      <x:c r="B24" s="11" t="str">
        <x:f>'Risks &amp; Opportunities'!L9</x:f>
        <x:v>12</x:v>
      </x:c>
    </x:row>
    <x:row r="25">
      <x:c r="A25" s="11" t="str">
        <x:f>'Risks &amp; Opportunities'!A10</x:f>
        <x:v>AR-06</x:v>
      </x:c>
      <x:c r="B25" s="11" t="str">
        <x:f>'Risks &amp; Opportunities'!L10</x:f>
        <x:v>15</x:v>
      </x:c>
    </x:row>
    <x:row r="26">
      <x:c r="A26" s="11" t="str">
        <x:f>'Risks &amp; Opportunities'!A11</x:f>
        <x:v>AR-07</x:v>
      </x:c>
      <x:c r="B26" s="11" t="str">
        <x:f>'Risks &amp; Opportunities'!L11</x:f>
        <x:v>20</x:v>
      </x:c>
    </x:row>
    <x:row r="29">
      <x:c r="A29" s="31" t="str">
        <x:v>Boundary: all inputs, review outcomes and gate results are synthetic portfolio evidence. They do not establish production operation, ISO/IEC 42001 conformity, certification, legal compliance, independent assurance or validated risk reduction.</x:v>
      </x:c>
      <x:c r="B29" s="32"/>
      <x:c r="C29" s="32"/>
      <x:c r="D29" s="32"/>
      <x:c r="E29" s="32"/>
      <x:c r="F29" s="32"/>
      <x:c r="G29" s="32"/>
      <x:c r="H29" s="32"/>
      <x:c r="I29" s="32"/>
      <x:c r="J29" s="32"/>
      <x:c r="K29" s="32"/>
      <x:c r="L29" s="33"/>
    </x:row>
    <x:row r="30">
      <x:c r="A30" s="34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6"/>
    </x:row>
  </x:sheetData>
  <x:mergeCells>
    <x:mergeCell ref="A1:L1"/>
    <x:mergeCell ref="A2:L2"/>
    <x:mergeCell ref="A29:L30"/>
  </x:mergeCells>
  <x:pageMargins left="0.7" right="0.7" top="0.75" bottom="0.75" header="0.3" footer="0.3"/>
  <x:drawing xmlns:r="http://schemas.openxmlformats.org/officeDocument/2006/relationships" r:id="R3d9a7a4831a1489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3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3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6" hidden="0" customWidth="1"/>
    <x:col min="21" max="21" width="36" hidden="0" customWidth="1"/>
  </x:cols>
  <x:sheetData>
    <x:row r="1" ht="30" customHeight="1">
      <x:c r="A1" s="2" t="str">
        <x:v>AIMS Risk and Opportunity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8" customHeight="1">
      <x:c r="A2" s="5" t="str">
        <x:v>Eight management-system records | scoring is portfolio prioritization, not ISO conformity or enterprise risk acceptance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4">
      <x:c r="A4" s="10" t="str">
        <x:v>Entry_ID</x:v>
      </x:c>
      <x:c r="B4" s="10" t="str">
        <x:v>Type</x:v>
      </x:c>
      <x:c r="C4" s="10" t="str">
        <x:v>Cause</x:v>
      </x:c>
      <x:c r="D4" s="10" t="str">
        <x:v>Event_or_Opportunity</x:v>
      </x:c>
      <x:c r="E4" s="10" t="str">
        <x:v>Consequence_or_Value</x:v>
      </x:c>
      <x:c r="F4" s="10" t="str">
        <x:v>Inherent_Likelihood_or_Feasibility</x:v>
      </x:c>
      <x:c r="G4" s="10" t="str">
        <x:v>Inherent_Impact_or_Value</x:v>
      </x:c>
      <x:c r="H4" s="10" t="str">
        <x:v>Inherent_Score</x:v>
      </x:c>
      <x:c r="I4" s="10" t="str">
        <x:v>Existing_Response</x:v>
      </x:c>
      <x:c r="J4" s="10" t="str">
        <x:v>Current_Likelihood_or_Feasibility</x:v>
      </x:c>
      <x:c r="K4" s="10" t="str">
        <x:v>Current_Impact_or_Value</x:v>
      </x:c>
      <x:c r="L4" s="10" t="str">
        <x:v>Current_Score</x:v>
      </x:c>
      <x:c r="M4" s="10" t="str">
        <x:v>Rating_or_Priority</x:v>
      </x:c>
      <x:c r="N4" s="10" t="str">
        <x:v>Treatment_or_Enablement</x:v>
      </x:c>
      <x:c r="O4" s="10" t="str">
        <x:v>Owner</x:v>
      </x:c>
      <x:c r="P4" s="10" t="str">
        <x:v>Due_Date</x:v>
      </x:c>
      <x:c r="Q4" s="10" t="str">
        <x:v>Status</x:v>
      </x:c>
      <x:c r="R4" s="10" t="str">
        <x:v>Linked_Objectives</x:v>
      </x:c>
      <x:c r="S4" s="10" t="str">
        <x:v>Evidence_ID</x:v>
      </x:c>
      <x:c r="T4" s="10" t="str">
        <x:v>Review_Trigger</x:v>
      </x:c>
      <x:c r="U4" s="10" t="str">
        <x:v>Boundary</x:v>
      </x:c>
    </x:row>
    <x:row r="5">
      <x:c r="A5" s="16" t="str">
        <x:v>AR-01</x:v>
      </x:c>
      <x:c r="B5" s="16" t="str">
        <x:v>Risk</x:v>
      </x:c>
      <x:c r="C5" s="16" t="str">
        <x:v>Normative requirements and exact applicability references are not yet verified</x:v>
      </x:c>
      <x:c r="D5" s="16" t="str">
        <x:v>The AIMS control and evidence map may omit or misstate a requirement</x:v>
      </x:c>
      <x:c r="E5" s="16" t="str">
        <x:v>Misaligned assurance claims or incomplete readiness decisions</x:v>
      </x:c>
      <x:c r="F5" s="16" t="str">
        <x:v>4</x:v>
      </x:c>
      <x:c r="G5" s="16" t="str">
        <x:v>4</x:v>
      </x:c>
      <x:c r="H5" s="16" t="str">
        <x:v>16</x:v>
      </x:c>
      <x:c r="I5" s="16" t="str">
        <x:v>Thematic baseline and explicit limitation</x:v>
      </x:c>
      <x:c r="J5" s="16" t="str">
        <x:v>3</x:v>
      </x:c>
      <x:c r="K5" s="16" t="str">
        <x:v>4</x:v>
      </x:c>
      <x:c r="L5" s="16" t="str">
        <x:v>12</x:v>
      </x:c>
      <x:c r="M5" s="16" t="str">
        <x:v>High</x:v>
      </x:c>
      <x:c r="N5" s="16" t="str">
        <x:v>Verify requirement-level and Annex A mapping against an authorized standard and second-person review</x:v>
      </x:c>
      <x:c r="O5" s="16" t="str">
        <x:v>Eleanor Duckford - AI Governance Lead</x:v>
      </x:c>
      <x:c r="P5" s="16" t="str">
        <x:v>2026-10-30</x:v>
      </x:c>
      <x:c r="Q5" s="16" t="str">
        <x:v>Open</x:v>
      </x:c>
      <x:c r="R5" s="16" t="str">
        <x:v>OBJ-08</x:v>
      </x:c>
      <x:c r="S5" s="16" t="str">
        <x:v>EV-AIMS-010</x:v>
      </x:c>
      <x:c r="T5" s="16" t="str">
        <x:v>Authorized standard review or mapping change</x:v>
      </x:c>
      <x:c r="U5" s="16" t="str">
        <x:v>Thematic portfolio mapping only; no conformity claim</x:v>
      </x:c>
    </x:row>
    <x:row r="6">
      <x:c r="A6" s="16" t="str">
        <x:v>AR-02</x:v>
      </x:c>
      <x:c r="B6" s="16" t="str">
        <x:v>Risk</x:v>
      </x:c>
      <x:c r="C6" s="16" t="str">
        <x:v>Multiple formats and versions can diverge</x:v>
      </x:c>
      <x:c r="D6" s="16" t="str">
        <x:v>A decision may rely on a stale or non-authoritative artifact</x:v>
      </x:c>
      <x:c r="E6" s="16" t="str">
        <x:v>Reduced traceability and unreliable evidence retrieval</x:v>
      </x:c>
      <x:c r="F6" s="16" t="str">
        <x:v>4</x:v>
      </x:c>
      <x:c r="G6" s="16" t="str">
        <x:v>4</x:v>
      </x:c>
      <x:c r="H6" s="16" t="str">
        <x:v>16</x:v>
      </x:c>
      <x:c r="I6" s="16" t="str">
        <x:v>v1.4 document-control standard and priority register</x:v>
      </x:c>
      <x:c r="J6" s="16" t="str">
        <x:v>2</x:v>
      </x:c>
      <x:c r="K6" s="16" t="str">
        <x:v>4</x:v>
      </x:c>
      <x:c r="L6" s="16" t="str">
        <x:v>8</x:v>
      </x:c>
      <x:c r="M6" s="16" t="str">
        <x:v>Moderate</x:v>
      </x:c>
      <x:c r="N6" s="16" t="str">
        <x:v>Extend authority, retrieval and supersession testing across the repository</x:v>
      </x:c>
      <x:c r="O6" s="16" t="str">
        <x:v>Eleanor Duckford - AI Governance Lead</x:v>
      </x:c>
      <x:c r="P6" s="16" t="str">
        <x:v>2026-11-15</x:v>
      </x:c>
      <x:c r="Q6" s="16" t="str">
        <x:v>In Progress</x:v>
      </x:c>
      <x:c r="R6" s="16" t="str">
        <x:v>OBJ-04;OBJ-05;OBJ-08</x:v>
      </x:c>
      <x:c r="S6" s="16" t="str">
        <x:v>EV-AIMS-010</x:v>
      </x:c>
      <x:c r="T6" s="16" t="str">
        <x:v>New version, broken link or retrieval failure</x:v>
      </x:c>
      <x:c r="U6" s="16" t="str">
        <x:v>Priority-scope synthetic control; enterprise operation unverified</x:v>
      </x:c>
    </x:row>
    <x:row r="7">
      <x:c r="A7" s="16" t="str">
        <x:v>AR-03</x:v>
      </x:c>
      <x:c r="B7" s="16" t="str">
        <x:v>Risk</x:v>
      </x:c>
      <x:c r="C7" s="16" t="str">
        <x:v>Only one of three synthetic competence records is eligible</x:v>
      </x:c>
      <x:c r="D7" s="16" t="str">
        <x:v>A controlled activity may be performed without current competence evidence</x:v>
      </x:c>
      <x:c r="E7" s="16" t="str">
        <x:v>Invalid authorization or ineffective human oversight</x:v>
      </x:c>
      <x:c r="F7" s="16" t="str">
        <x:v>4</x:v>
      </x:c>
      <x:c r="G7" s="16" t="str">
        <x:v>5</x:v>
      </x:c>
      <x:c r="H7" s="16" t="str">
        <x:v>20</x:v>
      </x:c>
      <x:c r="I7" s="16" t="str">
        <x:v>Competence standard, register and executable gate</x:v>
      </x:c>
      <x:c r="J7" s="16" t="str">
        <x:v>3</x:v>
      </x:c>
      <x:c r="K7" s="16" t="str">
        <x:v>5</x:v>
      </x:c>
      <x:c r="L7" s="16" t="str">
        <x:v>15</x:v>
      </x:c>
      <x:c r="M7" s="16" t="str">
        <x:v>High</x:v>
      </x:c>
      <x:c r="N7" s="16" t="str">
        <x:v>Remediate expired refresher and below-threshold assessment; require human renewal</x:v>
      </x:c>
      <x:c r="O7" s="16" t="str">
        <x:v>Relevant Business Owners</x:v>
      </x:c>
      <x:c r="P7" s="16" t="str">
        <x:v>2026-09-30</x:v>
      </x:c>
      <x:c r="Q7" s="16" t="str">
        <x:v>In Progress</x:v>
      </x:c>
      <x:c r="R7" s="16" t="str">
        <x:v>OBJ-06</x:v>
      </x:c>
      <x:c r="S7" s="16" t="str">
        <x:v>EV-AIMS-010</x:v>
      </x:c>
      <x:c r="T7" s="16" t="str">
        <x:v>Expiry, failed assessment, role change or requested authorization</x:v>
      </x:c>
      <x:c r="U7" s="16" t="str">
        <x:v>No real personnel competence or authorization claim</x:v>
      </x:c>
    </x:row>
    <x:row r="8">
      <x:c r="A8" s="16" t="str">
        <x:v>AR-04</x:v>
      </x:c>
      <x:c r="B8" s="16" t="str">
        <x:v>Risk</x:v>
      </x:c>
      <x:c r="C8" s="16" t="str">
        <x:v>Five PondGPT broader-rollout supplier conditions remain open</x:v>
      </x:c>
      <x:c r="D8" s="16" t="str">
        <x:v>Supplier change or missing evidence may exceed the restricted-pilot boundary</x:v>
      </x:c>
      <x:c r="E8" s="16" t="str">
        <x:v>Security, privacy, continuity and exit exposure</x:v>
      </x:c>
      <x:c r="F8" s="16" t="str">
        <x:v>4</x:v>
      </x:c>
      <x:c r="G8" s="16" t="str">
        <x:v>5</x:v>
      </x:c>
      <x:c r="H8" s="16" t="str">
        <x:v>20</x:v>
      </x:c>
      <x:c r="I8" s="16" t="str">
        <x:v>Conditional supplier gate and restricted pilot</x:v>
      </x:c>
      <x:c r="J8" s="16" t="str">
        <x:v>3</x:v>
      </x:c>
      <x:c r="K8" s="16" t="str">
        <x:v>5</x:v>
      </x:c>
      <x:c r="L8" s="16" t="str">
        <x:v>15</x:v>
      </x:c>
      <x:c r="M8" s="16" t="str">
        <x:v>High</x:v>
      </x:c>
      <x:c r="N8" s="16" t="str">
        <x:v>Obtain verified evidence and executed terms; retain sensitive-source and broader-rollout blocks</x:v>
      </x:c>
      <x:c r="O8" s="16" t="str">
        <x:v>Percival Duckworth - Director Procurement &amp; Vendor Assurance</x:v>
      </x:c>
      <x:c r="P8" s="16" t="str">
        <x:v>2026-12-15</x:v>
      </x:c>
      <x:c r="Q8" s="16" t="str">
        <x:v>Blocked</x:v>
      </x:c>
      <x:c r="R8" s="16" t="str">
        <x:v>OBJ-03</x:v>
      </x:c>
      <x:c r="S8" s="16" t="str">
        <x:v>EV-AIMS-010</x:v>
      </x:c>
      <x:c r="T8" s="16" t="str">
        <x:v>Supplier evidence, change, renewal, incident or expansion request</x:v>
      </x:c>
      <x:c r="U8" s="16" t="str">
        <x:v>Fictional supplier; no executed terms or operating history</x:v>
      </x:c>
    </x:row>
    <x:row r="9">
      <x:c r="A9" s="16" t="str">
        <x:v>AR-05</x:v>
      </x:c>
      <x:c r="B9" s="16" t="str">
        <x:v>Risk</x:v>
      </x:c>
      <x:c r="C9" s="16" t="str">
        <x:v>One AIMS-wide review is demonstrated only as a bounded exercise</x:v>
      </x:c>
      <x:c r="D9" s="16" t="str">
        <x:v>Management review may not recur or drive timely follow-up</x:v>
      </x:c>
      <x:c r="E9" s="16" t="str">
        <x:v>Stale objectives, unresolved actions and weak accountability</x:v>
      </x:c>
      <x:c r="F9" s="16" t="str">
        <x:v>4</x:v>
      </x:c>
      <x:c r="G9" s="16" t="str">
        <x:v>4</x:v>
      </x:c>
      <x:c r="H9" s="16" t="str">
        <x:v>16</x:v>
      </x:c>
      <x:c r="I9" s="16" t="str">
        <x:v>Static decision brief and MR-AIMS-2026-002 exercise</x:v>
      </x:c>
      <x:c r="J9" s="16" t="str">
        <x:v>3</x:v>
      </x:c>
      <x:c r="K9" s="16" t="str">
        <x:v>4</x:v>
      </x:c>
      <x:c r="L9" s="16" t="str">
        <x:v>12</x:v>
      </x:c>
      <x:c r="M9" s="16" t="str">
        <x:v>High</x:v>
      </x:c>
      <x:c r="N9" s="16" t="str">
        <x:v>Approve quarterly cadence, required inputs, secretariat and follow-up evidence</x:v>
      </x:c>
      <x:c r="O9" s="16" t="str">
        <x:v>Reginald Duckman - CRCO</x:v>
      </x:c>
      <x:c r="P9" s="16" t="str">
        <x:v>2026-10-15</x:v>
      </x:c>
      <x:c r="Q9" s="16" t="str">
        <x:v>Open</x:v>
      </x:c>
      <x:c r="R9" s="16" t="str">
        <x:v>OBJ-04;OBJ-05</x:v>
      </x:c>
      <x:c r="S9" s="16" t="str">
        <x:v>EV-AIMS-010</x:v>
      </x:c>
      <x:c r="T9" s="16" t="str">
        <x:v>Missed review date or material AIMS change</x:v>
      </x:c>
      <x:c r="U9" s="16" t="str">
        <x:v>One synthetic review does not prove recurring operation</x:v>
      </x:c>
    </x:row>
    <x:row r="10">
      <x:c r="A10" s="16" t="str">
        <x:v>AR-06</x:v>
      </x:c>
      <x:c r="B10" s="16" t="str">
        <x:v>Risk</x:v>
      </x:c>
      <x:c r="C10" s="16" t="str">
        <x:v>No independent enterprise AIMS audit program is operating</x:v>
      </x:c>
      <x:c r="D10" s="16" t="str">
        <x:v>Material governance weaknesses may remain unchallenged</x:v>
      </x:c>
      <x:c r="E10" s="16" t="str">
        <x:v>False confidence and delayed corrective action</x:v>
      </x:c>
      <x:c r="F10" s="16" t="str">
        <x:v>4</x:v>
      </x:c>
      <x:c r="G10" s="16" t="str">
        <x:v>5</x:v>
      </x:c>
      <x:c r="H10" s="16" t="str">
        <x:v>20</x:v>
      </x:c>
      <x:c r="I10" s="16" t="str">
        <x:v>One bounded DuckTalent finding-to-closure cycle</x:v>
      </x:c>
      <x:c r="J10" s="16" t="str">
        <x:v>3</x:v>
      </x:c>
      <x:c r="K10" s="16" t="str">
        <x:v>5</x:v>
      </x:c>
      <x:c r="L10" s="16" t="str">
        <x:v>15</x:v>
      </x:c>
      <x:c r="M10" s="16" t="str">
        <x:v>High</x:v>
      </x:c>
      <x:c r="N10" s="16" t="str">
        <x:v>Establish risk-based AIMS internal-audit program with independence safeguards</x:v>
      </x:c>
      <x:c r="O10" s="16" t="str">
        <x:v>Head of Internal Audit</x:v>
      </x:c>
      <x:c r="P10" s="16" t="str">
        <x:v>2026-11-30</x:v>
      </x:c>
      <x:c r="Q10" s="16" t="str">
        <x:v>Open</x:v>
      </x:c>
      <x:c r="R10" s="16" t="str">
        <x:v>OBJ-07</x:v>
      </x:c>
      <x:c r="S10" s="16" t="str">
        <x:v>EV-AIMS-010</x:v>
      </x:c>
      <x:c r="T10" s="16" t="str">
        <x:v>Audit plan approval, significant finding or independence conflict</x:v>
      </x:c>
      <x:c r="U10" s="16" t="str">
        <x:v>Portfolio self-assessment is not independent assurance</x:v>
      </x:c>
    </x:row>
    <x:row r="11">
      <x:c r="A11" s="16" t="str">
        <x:v>AR-07</x:v>
      </x:c>
      <x:c r="B11" s="16" t="str">
        <x:v>Risk</x:v>
      </x:c>
      <x:c r="C11" s="16" t="str">
        <x:v>Defined-period production effectiveness evidence is absent</x:v>
      </x:c>
      <x:c r="D11" s="16" t="str">
        <x:v>Synthetic control results may be mistaken for sustained production performance</x:v>
      </x:c>
      <x:c r="E11" s="16" t="str">
        <x:v>Unsupported risk reduction or deployment decisions</x:v>
      </x:c>
      <x:c r="F11" s="16" t="str">
        <x:v>5</x:v>
      </x:c>
      <x:c r="G11" s="16" t="str">
        <x:v>5</x:v>
      </x:c>
      <x:c r="H11" s="16" t="str">
        <x:v>25</x:v>
      </x:c>
      <x:c r="I11" s="16" t="str">
        <x:v>Evidence-state rules and six explicit unavailable records</x:v>
      </x:c>
      <x:c r="J11" s="16" t="str">
        <x:v>4</x:v>
      </x:c>
      <x:c r="K11" s="16" t="str">
        <x:v>5</x:v>
      </x:c>
      <x:c r="L11" s="16" t="str">
        <x:v>20</x:v>
      </x:c>
      <x:c r="M11" s="16" t="str">
        <x:v>Critical</x:v>
      </x:c>
      <x:c r="N11" s="16" t="str">
        <x:v>Obtain version-bound FeatherForecast production monitoring, exceptions and review evidence</x:v>
      </x:c>
      <x:c r="O11" s="16" t="str">
        <x:v>Dr. Ada Duckfield - Head of Data &amp; AI</x:v>
      </x:c>
      <x:c r="P11" s="16" t="str">
        <x:v>2026-12-31</x:v>
      </x:c>
      <x:c r="Q11" s="16" t="str">
        <x:v>Open</x:v>
      </x:c>
      <x:c r="R11" s="16" t="str">
        <x:v>OBJ-02;OBJ-05</x:v>
      </x:c>
      <x:c r="S11" s="16" t="str">
        <x:v>EV-AIMS-010</x:v>
      </x:c>
      <x:c r="T11" s="16" t="str">
        <x:v>Production evidence receipt, material change or gate decision</x:v>
      </x:c>
      <x:c r="U11" s="16" t="str">
        <x:v>No production operation or validated effectiveness claim</x:v>
      </x:c>
    </x:row>
    <x:row r="12">
      <x:c r="A12" s="16" t="str">
        <x:v>AO-01</x:v>
      </x:c>
      <x:c r="B12" s="16" t="str">
        <x:v>Opportunity</x:v>
      </x:c>
      <x:c r="C12" s="16" t="str">
        <x:v>Three registered systems lack worked evidence chains</x:v>
      </x:c>
      <x:c r="D12" s="16" t="str">
        <x:v>Extend bounded evidence architecture to AI-001, AI-002 and AI-003</x:v>
      </x:c>
      <x:c r="E12" s="16" t="str">
        <x:v>Improve portfolio coverage from three of six to six of six systems</x:v>
      </x:c>
      <x:c r="F12" s="16" t="str">
        <x:v>4</x:v>
      </x:c>
      <x:c r="G12" s="16" t="str">
        <x:v>4</x:v>
      </x:c>
      <x:c r="H12" s="16" t="str">
        <x:v>16</x:v>
      </x:c>
      <x:c r="I12" s="16" t="str">
        <x:v>Reusable evidence-card and executable-control patterns exist</x:v>
      </x:c>
      <x:c r="J12" s="16" t="str">
        <x:v>4</x:v>
      </x:c>
      <x:c r="K12" s="16" t="str">
        <x:v>4</x:v>
      </x:c>
      <x:c r="L12" s="16" t="str">
        <x:v>16</x:v>
      </x:c>
      <x:c r="M12" s="16" t="str">
        <x:v>High priority</x:v>
      </x:c>
      <x:c r="N12" s="16" t="str">
        <x:v>Create focused evidence packages only where they add distinct control archetypes</x:v>
      </x:c>
      <x:c r="O12" s="16" t="str">
        <x:v>Eleanor Duckford - AI Governance Lead</x:v>
      </x:c>
      <x:c r="P12" s="16" t="str">
        <x:v>2026-12-31</x:v>
      </x:c>
      <x:c r="Q12" s="16" t="str">
        <x:v>Open</x:v>
      </x:c>
      <x:c r="R12" s="16" t="str">
        <x:v>OBJ-01</x:v>
      </x:c>
      <x:c r="S12" s="16" t="str">
        <x:v>EV-AIMS-010</x:v>
      </x:c>
      <x:c r="T12" s="16" t="str">
        <x:v>Portfolio prioritization or evidence-package completion</x:v>
      </x:c>
      <x:c r="U12" s="16" t="str">
        <x:v>Portfolio value opportunity; not production risk reduction</x:v>
      </x:c>
    </x:row>
  </x:sheetData>
  <x:mergeCells>
    <x:mergeCell ref="A1:U1"/>
    <x:mergeCell ref="A2:U2"/>
  </x:mergeCells>
  <x:conditionalFormatting sqref="M5:M12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</x:cols>
  <x:sheetData>
    <x:row r="1" ht="30" customHeight="1">
      <x:c r="A1" s="2" t="str">
        <x:v>AIMS Objectives — Period 2 Snapshot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5" t="str">
        <x:v>Release-triggered reconciliation | OBJ-04 and OBJ-05 updated for 58 canonical evidence records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0" t="str">
        <x:v>Objective_ID</x:v>
      </x:c>
      <x:c r="B4" s="10" t="str">
        <x:v>Objective</x:v>
      </x:c>
      <x:c r="C4" s="10" t="str">
        <x:v>Prior_Current_Numerator</x:v>
      </x:c>
      <x:c r="D4" s="10" t="str">
        <x:v>Prior_Current_Denominator</x:v>
      </x:c>
      <x:c r="E4" s="10" t="str">
        <x:v>Current_Numerator</x:v>
      </x:c>
      <x:c r="F4" s="10" t="str">
        <x:v>Current_Denominator</x:v>
      </x:c>
      <x:c r="G4" s="10" t="str">
        <x:v>Target_Rate</x:v>
      </x:c>
      <x:c r="H4" s="10" t="str">
        <x:v>Prior_Status</x:v>
      </x:c>
      <x:c r="I4" s="10" t="str">
        <x:v>Current_Status</x:v>
      </x:c>
      <x:c r="J4" s="10" t="str">
        <x:v>Change_Explanation</x:v>
      </x:c>
      <x:c r="K4" s="10" t="str">
        <x:v>Management_Response</x:v>
      </x:c>
      <x:c r="L4" s="10" t="str">
        <x:v>Owner</x:v>
      </x:c>
      <x:c r="M4" s="10" t="str">
        <x:v>Evidence_ID</x:v>
      </x:c>
      <x:c r="N4" s="10" t="str">
        <x:v>Boundary</x:v>
      </x:c>
    </x:row>
    <x:row r="5">
      <x:c r="A5" s="16" t="str">
        <x:v>OBJ-01</x:v>
      </x:c>
      <x:c r="B5" s="16" t="str">
        <x:v>Evidence-backed lifecycle decision coverage for registered AI systems</x:v>
      </x:c>
      <x:c r="C5" s="16" t="str">
        <x:v>3</x:v>
      </x:c>
      <x:c r="D5" s="16" t="str">
        <x:v>6</x:v>
      </x:c>
      <x:c r="E5" s="16" t="str">
        <x:v>3</x:v>
      </x:c>
      <x:c r="F5" s="16" t="str">
        <x:v>6</x:v>
      </x:c>
      <x:c r="G5" s="16" t="str">
        <x:v>1.0</x:v>
      </x:c>
      <x:c r="H5" s="16" t="str">
        <x:v>At risk</x:v>
      </x:c>
      <x:c r="I5" s="16" t="str">
        <x:v>At risk</x:v>
      </x:c>
      <x:c r="J5" s="16" t="str">
        <x:v>No new system evidence package in v1.5</x:v>
      </x:c>
      <x:c r="K5" s="16" t="str">
        <x:v>Retain targeted coverage action for AI-001, AI-002 and AI-003</x:v>
      </x:c>
      <x:c r="L5" s="16" t="str">
        <x:v>Eleanor Duckford - AI Governance Lead</x:v>
      </x:c>
      <x:c r="M5" s="16" t="str">
        <x:v>EV-AIMS-011</x:v>
      </x:c>
      <x:c r="N5" s="16" t="str">
        <x:v>Synthetic coverage does not prove production effectiveness</x:v>
      </x:c>
    </x:row>
    <x:row r="6">
      <x:c r="A6" s="16" t="str">
        <x:v>OBJ-02</x:v>
      </x:c>
      <x:c r="B6" s="16" t="str">
        <x:v>Production AI systems with defined-period production effectiveness evidence</x:v>
      </x:c>
      <x:c r="C6" s="16" t="str">
        <x:v>0</x:v>
      </x:c>
      <x:c r="D6" s="16" t="str">
        <x:v>1</x:v>
      </x:c>
      <x:c r="E6" s="16" t="str">
        <x:v>0</x:v>
      </x:c>
      <x:c r="F6" s="16" t="str">
        <x:v>1</x:v>
      </x:c>
      <x:c r="G6" s="16" t="str">
        <x:v>1.0</x:v>
      </x:c>
      <x:c r="H6" s="16" t="str">
        <x:v>At risk</x:v>
      </x:c>
      <x:c r="I6" s="16" t="str">
        <x:v>At risk</x:v>
      </x:c>
      <x:c r="J6" s="16" t="str">
        <x:v>No production evidence added</x:v>
      </x:c>
      <x:c r="K6" s="16" t="str">
        <x:v>Obtain FeatherForecast version-bound monitoring and exception evidence</x:v>
      </x:c>
      <x:c r="L6" s="16" t="str">
        <x:v>Dr. Ada Duckfield - Head of Data &amp; AI</x:v>
      </x:c>
      <x:c r="M6" s="16" t="str">
        <x:v>EV-AIMS-011</x:v>
      </x:c>
      <x:c r="N6" s="16" t="str">
        <x:v>No production effectiveness claim</x:v>
      </x:c>
    </x:row>
    <x:row r="7">
      <x:c r="A7" s="16" t="str">
        <x:v>OBJ-03</x:v>
      </x:c>
      <x:c r="B7" s="16" t="str">
        <x:v>PondGPT broader-rollout supplier conditions closed and independently accepted</x:v>
      </x:c>
      <x:c r="C7" s="16" t="str">
        <x:v>0</x:v>
      </x:c>
      <x:c r="D7" s="16" t="str">
        <x:v>5</x:v>
      </x:c>
      <x:c r="E7" s="16" t="str">
        <x:v>0</x:v>
      </x:c>
      <x:c r="F7" s="16" t="str">
        <x:v>5</x:v>
      </x:c>
      <x:c r="G7" s="16" t="str">
        <x:v>1.0</x:v>
      </x:c>
      <x:c r="H7" s="16" t="str">
        <x:v>Blocked</x:v>
      </x:c>
      <x:c r="I7" s="16" t="str">
        <x:v>Blocked</x:v>
      </x:c>
      <x:c r="J7" s="16" t="str">
        <x:v>Five supplier conditions remain open</x:v>
      </x:c>
      <x:c r="K7" s="16" t="str">
        <x:v>Maintain restricted pilot and broader-rollout block</x:v>
      </x:c>
      <x:c r="L7" s="16" t="str">
        <x:v>Percival Duckworth - Director Procurement &amp; Vendor Assurance</x:v>
      </x:c>
      <x:c r="M7" s="16" t="str">
        <x:v>EV-AIMS-011</x:v>
      </x:c>
      <x:c r="N7" s="16" t="str">
        <x:v>No supplier approval or executed-control claim</x:v>
      </x:c>
    </x:row>
    <x:row r="8">
      <x:c r="A8" s="16" t="str">
        <x:v>OBJ-04</x:v>
      </x:c>
      <x:c r="B8" s="16" t="str">
        <x:v>Canonical evidence records with explicit state and boundary</x:v>
      </x:c>
      <x:c r="C8" s="16" t="str">
        <x:v>50</x:v>
      </x:c>
      <x:c r="D8" s="16" t="str">
        <x:v>50</x:v>
      </x:c>
      <x:c r="E8" s="16" t="str">
        <x:v>58</x:v>
      </x:c>
      <x:c r="F8" s="16" t="str">
        <x:v>58</x:v>
      </x:c>
      <x:c r="G8" s="16" t="str">
        <x:v>1.0</x:v>
      </x:c>
      <x:c r="H8" s="16" t="str">
        <x:v>Met</x:v>
      </x:c>
      <x:c r="I8" s="16" t="str">
        <x:v>Met</x:v>
      </x:c>
      <x:c r="J8" s="16" t="str">
        <x:v>Eight management-review-cycle evidence records added</x:v>
      </x:c>
      <x:c r="K8" s="16" t="str">
        <x:v>Maintain unique IDs and explicit evidence boundaries</x:v>
      </x:c>
      <x:c r="L8" s="16" t="str">
        <x:v>Eleanor Duckford - AI Governance Lead</x:v>
      </x:c>
      <x:c r="M8" s="16" t="str">
        <x:v>EV-AIMS-011</x:v>
      </x:c>
      <x:c r="N8" s="16" t="str">
        <x:v>Completeness of index does not validate evidence effectiveness</x:v>
      </x:c>
    </x:row>
    <x:row r="9">
      <x:c r="A9" s="16" t="str">
        <x:v>OBJ-05</x:v>
      </x:c>
      <x:c r="B9" s="16" t="str">
        <x:v>Canonical evidence records available and retrievable</x:v>
      </x:c>
      <x:c r="C9" s="16" t="str">
        <x:v>44</x:v>
      </x:c>
      <x:c r="D9" s="16" t="str">
        <x:v>50</x:v>
      </x:c>
      <x:c r="E9" s="16" t="str">
        <x:v>52</x:v>
      </x:c>
      <x:c r="F9" s="16" t="str">
        <x:v>58</x:v>
      </x:c>
      <x:c r="G9" s="16" t="str">
        <x:v>0.95</x:v>
      </x:c>
      <x:c r="H9" s="16" t="str">
        <x:v>At risk</x:v>
      </x:c>
      <x:c r="I9" s="16" t="str">
        <x:v>At risk</x:v>
      </x:c>
      <x:c r="J9" s="16" t="str">
        <x:v>Available evidence increased but six production records remain unavailable</x:v>
      </x:c>
      <x:c r="K9" s="16" t="str">
        <x:v>Prioritize production evidence while retaining unavailable records</x:v>
      </x:c>
      <x:c r="L9" s="16" t="str">
        <x:v>Eleanor Duckford - AI Governance Lead</x:v>
      </x:c>
      <x:c r="M9" s="16" t="str">
        <x:v>EV-AIMS-011</x:v>
      </x:c>
      <x:c r="N9" s="16" t="str">
        <x:v>Availability does not establish adequacy or effectiveness</x:v>
      </x:c>
    </x:row>
    <x:row r="10">
      <x:c r="A10" s="16" t="str">
        <x:v>OBJ-06</x:v>
      </x:c>
      <x:c r="B10" s="16" t="str">
        <x:v>Competence records eligible for human authorization</x:v>
      </x:c>
      <x:c r="C10" s="16" t="str">
        <x:v>1</x:v>
      </x:c>
      <x:c r="D10" s="16" t="str">
        <x:v>3</x:v>
      </x:c>
      <x:c r="E10" s="16" t="str">
        <x:v>1</x:v>
      </x:c>
      <x:c r="F10" s="16" t="str">
        <x:v>3</x:v>
      </x:c>
      <x:c r="G10" s="16" t="str">
        <x:v>1.0</x:v>
      </x:c>
      <x:c r="H10" s="16" t="str">
        <x:v>Blocked</x:v>
      </x:c>
      <x:c r="I10" s="16" t="str">
        <x:v>Blocked</x:v>
      </x:c>
      <x:c r="J10" s="16" t="str">
        <x:v>Expired and below-threshold cases remain unresolved</x:v>
      </x:c>
      <x:c r="K10" s="16" t="str">
        <x:v>Complete refresher and reassessment before human renewal</x:v>
      </x:c>
      <x:c r="L10" s="16" t="str">
        <x:v>Relevant Business Owners</x:v>
      </x:c>
      <x:c r="M10" s="16" t="str">
        <x:v>EV-AIMS-011</x:v>
      </x:c>
      <x:c r="N10" s="16" t="str">
        <x:v>Eligibility does not grant authorization</x:v>
      </x:c>
    </x:row>
    <x:row r="11">
      <x:c r="A11" s="16" t="str">
        <x:v>OBJ-07</x:v>
      </x:c>
      <x:c r="B11" s="16" t="str">
        <x:v>Bounded audit CAPA cycles meeting stated closure criteria</x:v>
      </x:c>
      <x:c r="C11" s="16" t="str">
        <x:v>1</x:v>
      </x:c>
      <x:c r="D11" s="16" t="str">
        <x:v>1</x:v>
      </x:c>
      <x:c r="E11" s="16" t="str">
        <x:v>1</x:v>
      </x:c>
      <x:c r="F11" s="16" t="str">
        <x:v>1</x:v>
      </x:c>
      <x:c r="G11" s="16" t="str">
        <x:v>1.0</x:v>
      </x:c>
      <x:c r="H11" s="16" t="str">
        <x:v>Met</x:v>
      </x:c>
      <x:c r="I11" s="16" t="str">
        <x:v>Met</x:v>
      </x:c>
      <x:c r="J11" s="16" t="str">
        <x:v>No new CAPA; prior bounded closure remains valid</x:v>
      </x:c>
      <x:c r="K11" s="16" t="str">
        <x:v>Retain reopening triggers and build enterprise audit cadence</x:v>
      </x:c>
      <x:c r="L11" s="16" t="str">
        <x:v>Head of Internal Audit</x:v>
      </x:c>
      <x:c r="M11" s="16" t="str">
        <x:v>EV-AIMS-011</x:v>
      </x:c>
      <x:c r="N11" s="16" t="str">
        <x:v>One synthetic closure is not an independent audit program</x:v>
      </x:c>
    </x:row>
    <x:row r="12">
      <x:c r="A12" s="16" t="str">
        <x:v>OBJ-08</x:v>
      </x:c>
      <x:c r="B12" s="16" t="str">
        <x:v>Priority management-system documents under explicit control</x:v>
      </x:c>
      <x:c r="C12" s="16" t="str">
        <x:v>14</x:v>
      </x:c>
      <x:c r="D12" s="16" t="str">
        <x:v>14</x:v>
      </x:c>
      <x:c r="E12" s="16" t="str">
        <x:v>22</x:v>
      </x:c>
      <x:c r="F12" s="16" t="str">
        <x:v>22</x:v>
      </x:c>
      <x:c r="G12" s="16" t="str">
        <x:v>1.0</x:v>
      </x:c>
      <x:c r="H12" s="16" t="str">
        <x:v>Met</x:v>
      </x:c>
      <x:c r="I12" s="16" t="str">
        <x:v>Met</x:v>
      </x:c>
      <x:c r="J12" s="16" t="str">
        <x:v>Eight v1.5 canonical artifacts added to priority control scope</x:v>
      </x:c>
      <x:c r="K12" s="16" t="str">
        <x:v>Update register after publication and test retrieval</x:v>
      </x:c>
      <x:c r="L12" s="16" t="str">
        <x:v>Eleanor Duckford - AI Governance Lead</x:v>
      </x:c>
      <x:c r="M12" s="16" t="str">
        <x:v>EV-AIMS-011</x:v>
      </x:c>
      <x:c r="N12" s="16" t="str">
        <x:v>Priority scope is not a complete enterprise records inventory</x:v>
      </x:c>
    </x:row>
  </x:sheetData>
  <x:mergeCells>
    <x:mergeCell ref="A1:N1"/>
    <x:mergeCell ref="A2:N2"/>
  </x:mergeCells>
  <x:conditionalFormatting sqref="I5:I12">
    <x:cfRule type="containsText" dxfId="2" priority="1" operator="containsText" text="Met"/>
    <x:cfRule type="containsText" dxfId="3" priority="2" operator="containsText" text="At risk"/>
    <x:cfRule type="containsText" dxfId="4" priority="3" operator="containsText" text="Block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38" hidden="0" customWidth="1"/>
  </x:cols>
  <x:sheetData>
    <x:row r="1" ht="30" customHeight="1">
      <x:c r="A1" s="2" t="str">
        <x:v>AIMS Management Action Tracker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5" t="str">
        <x:v>Six assigned actions | status changes require retained evidence and human disposition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4">
      <x:c r="A4" s="10" t="str">
        <x:v>Action_ID</x:v>
      </x:c>
      <x:c r="B4" s="10" t="str">
        <x:v>Decision_ID</x:v>
      </x:c>
      <x:c r="C4" s="10" t="str">
        <x:v>Action</x:v>
      </x:c>
      <x:c r="D4" s="10" t="str">
        <x:v>Priority</x:v>
      </x:c>
      <x:c r="E4" s="10" t="str">
        <x:v>Owner</x:v>
      </x:c>
      <x:c r="F4" s="10" t="str">
        <x:v>Assigned_Date</x:v>
      </x:c>
      <x:c r="G4" s="10" t="str">
        <x:v>Due_Date</x:v>
      </x:c>
      <x:c r="H4" s="10" t="str">
        <x:v>Status</x:v>
      </x:c>
      <x:c r="I4" s="10" t="str">
        <x:v>Dependency</x:v>
      </x:c>
      <x:c r="J4" s="10" t="str">
        <x:v>Completion_Evidence</x:v>
      </x:c>
      <x:c r="K4" s="10" t="str">
        <x:v>Escalation_Rule</x:v>
      </x:c>
      <x:c r="L4" s="10" t="str">
        <x:v>Expected_Gate_Result</x:v>
      </x:c>
      <x:c r="M4" s="10" t="str">
        <x:v>Evidence_ID</x:v>
      </x:c>
      <x:c r="N4" s="10" t="str">
        <x:v>Boundary</x:v>
      </x:c>
    </x:row>
    <x:row r="5">
      <x:c r="A5" s="16" t="str">
        <x:v>AIMS-ACT-001</x:v>
      </x:c>
      <x:c r="B5" s="16" t="str">
        <x:v>MRD-005</x:v>
      </x:c>
      <x:c r="C5" s="16" t="str">
        <x:v>Verify requirement-level and Annex A mappings against an authorized standard and second-person review</x:v>
      </x:c>
      <x:c r="D5" s="16" t="str">
        <x:v>High</x:v>
      </x:c>
      <x:c r="E5" s="16" t="str">
        <x:v>Eleanor Duckford - AI Governance Lead</x:v>
      </x:c>
      <x:c r="F5" s="16" t="str">
        <x:v>2026-09-08</x:v>
      </x:c>
      <x:c r="G5" s="16" t="str">
        <x:v>2026-10-30</x:v>
      </x:c>
      <x:c r="H5" s="16" t="str">
        <x:v>Open</x:v>
      </x:c>
      <x:c r="I5" s="16" t="str">
        <x:v>Authorized standard access and competent reviewer</x:v>
      </x:c>
      <x:c r="J5" s="16" t="str">
        <x:v>Approved mapping register with review record</x:v>
      </x:c>
      <x:c r="K5" s="16" t="str">
        <x:v>Escalate if overdue or mapping is used for a conformity claim</x:v>
      </x:c>
      <x:c r="L5" s="16" t="str">
        <x:v>MONITOR_OPEN</x:v>
      </x:c>
      <x:c r="M5" s="16" t="str">
        <x:v>EV-AIMS-014</x:v>
      </x:c>
      <x:c r="N5" s="16" t="str">
        <x:v>Thematic mapping remains current until verified</x:v>
      </x:c>
    </x:row>
    <x:row r="6">
      <x:c r="A6" s="16" t="str">
        <x:v>AIMS-ACT-002</x:v>
      </x:c>
      <x:c r="B6" s="16" t="str">
        <x:v>MRD-003</x:v>
      </x:c>
      <x:c r="C6" s="16" t="str">
        <x:v>Close five PondGPT broader-rollout supplier conditions with verified evidence and executed terms</x:v>
      </x:c>
      <x:c r="D6" s="16" t="str">
        <x:v>High</x:v>
      </x:c>
      <x:c r="E6" s="16" t="str">
        <x:v>Percival Duckworth - Director Procurement &amp; Vendor Assurance</x:v>
      </x:c>
      <x:c r="F6" s="16" t="str">
        <x:v>2026-09-08</x:v>
      </x:c>
      <x:c r="G6" s="16" t="str">
        <x:v>2026-12-15</x:v>
      </x:c>
      <x:c r="H6" s="16" t="str">
        <x:v>Blocked</x:v>
      </x:c>
      <x:c r="I6" s="16" t="str">
        <x:v>Supplier evidence and executed contractual terms</x:v>
      </x:c>
      <x:c r="J6" s="16" t="str">
        <x:v>Five condition closures with verification and authorized decision</x:v>
      </x:c>
      <x:c r="K6" s="16" t="str">
        <x:v>Keep broader rollout blocked while any dependency or condition remains open</x:v>
      </x:c>
      <x:c r="L6" s="16" t="str">
        <x:v>BLOCKED_DEPENDENCY</x:v>
      </x:c>
      <x:c r="M6" s="16" t="str">
        <x:v>EV-AIMS-014</x:v>
      </x:c>
      <x:c r="N6" s="16" t="str">
        <x:v>Fictional supplier; no executed terms</x:v>
      </x:c>
    </x:row>
    <x:row r="7">
      <x:c r="A7" s="16" t="str">
        <x:v>AIMS-ACT-003</x:v>
      </x:c>
      <x:c r="B7" s="16" t="str">
        <x:v>MRD-002</x:v>
      </x:c>
      <x:c r="C7" s="16" t="str">
        <x:v>Complete expired refresher and below-threshold reassessment before authorization renewal</x:v>
      </x:c>
      <x:c r="D7" s="16" t="str">
        <x:v>High</x:v>
      </x:c>
      <x:c r="E7" s="16" t="str">
        <x:v>Relevant Business Owners</x:v>
      </x:c>
      <x:c r="F7" s="16" t="str">
        <x:v>2026-09-08</x:v>
      </x:c>
      <x:c r="G7" s="16" t="str">
        <x:v>2026-09-30</x:v>
      </x:c>
      <x:c r="H7" s="16" t="str">
        <x:v>In Progress</x:v>
      </x:c>
      <x:c r="I7" s="16" t="str">
        <x:v>Training and assessment availability</x:v>
      </x:c>
      <x:c r="J7" s="16" t="str">
        <x:v>Current completion records, passing scores and human renewal decisions</x:v>
      </x:c>
      <x:c r="K7" s="16" t="str">
        <x:v>Escalate to CRCO on first day overdue; authorization remains blocked</x:v>
      </x:c>
      <x:c r="L7" s="16" t="str">
        <x:v>ESCALATE_OVERDUE</x:v>
      </x:c>
      <x:c r="M7" s="16" t="str">
        <x:v>EV-AIMS-014</x:v>
      </x:c>
      <x:c r="N7" s="16" t="str">
        <x:v>No real personnel or employment decision</x:v>
      </x:c>
    </x:row>
    <x:row r="8">
      <x:c r="A8" s="16" t="str">
        <x:v>AIMS-ACT-004</x:v>
      </x:c>
      <x:c r="B8" s="16" t="str">
        <x:v>MRD-001</x:v>
      </x:c>
      <x:c r="C8" s="16" t="str">
        <x:v>Obtain version-bound FeatherForecast production monitoring, exception and review evidence</x:v>
      </x:c>
      <x:c r="D8" s="16" t="str">
        <x:v>High</x:v>
      </x:c>
      <x:c r="E8" s="16" t="str">
        <x:v>Dr. Ada Duckfield - Head of Data &amp; AI</x:v>
      </x:c>
      <x:c r="F8" s="16" t="str">
        <x:v>2026-09-08</x:v>
      </x:c>
      <x:c r="G8" s="16" t="str">
        <x:v>2026-12-31</x:v>
      </x:c>
      <x:c r="H8" s="16" t="str">
        <x:v>Open</x:v>
      </x:c>
      <x:c r="I8" s="16" t="str">
        <x:v>Defined production period and approved data access</x:v>
      </x:c>
      <x:c r="J8" s="16" t="str">
        <x:v>Population, period, exceptions, reviewer and outcome evidence</x:v>
      </x:c>
      <x:c r="K8" s="16" t="str">
        <x:v>Escalate if a risk reduction or gate change is proposed without evidence</x:v>
      </x:c>
      <x:c r="L8" s="16" t="str">
        <x:v>MONITOR_OPEN</x:v>
      </x:c>
      <x:c r="M8" s="16" t="str">
        <x:v>EV-AIMS-014</x:v>
      </x:c>
      <x:c r="N8" s="16" t="str">
        <x:v>No production effectiveness currently demonstrated</x:v>
      </x:c>
    </x:row>
    <x:row r="9">
      <x:c r="A9" s="16" t="str">
        <x:v>AIMS-ACT-005</x:v>
      </x:c>
      <x:c r="B9" s="16" t="str">
        <x:v>MRD-004</x:v>
      </x:c>
      <x:c r="C9" s="16" t="str">
        <x:v>Establish a risk-based independent AIMS internal-audit program</x:v>
      </x:c>
      <x:c r="D9" s="16" t="str">
        <x:v>High</x:v>
      </x:c>
      <x:c r="E9" s="16" t="str">
        <x:v>Head of Internal Audit</x:v>
      </x:c>
      <x:c r="F9" s="16" t="str">
        <x:v>2026-09-08</x:v>
      </x:c>
      <x:c r="G9" s="16" t="str">
        <x:v>2026-11-30</x:v>
      </x:c>
      <x:c r="H9" s="16" t="str">
        <x:v>Open</x:v>
      </x:c>
      <x:c r="I9" s="16" t="str">
        <x:v>Audit capacity and independence safeguards</x:v>
      </x:c>
      <x:c r="J9" s="16" t="str">
        <x:v>Approved program, scope, criteria, competence and schedule</x:v>
      </x:c>
      <x:c r="K9" s="16" t="str">
        <x:v>Escalate missed approval date or independence conflict</x:v>
      </x:c>
      <x:c r="L9" s="16" t="str">
        <x:v>MONITOR_OPEN</x:v>
      </x:c>
      <x:c r="M9" s="16" t="str">
        <x:v>EV-AIMS-014</x:v>
      </x:c>
      <x:c r="N9" s="16" t="str">
        <x:v>Portfolio self-review is not independent assurance</x:v>
      </x:c>
    </x:row>
    <x:row r="10">
      <x:c r="A10" s="16" t="str">
        <x:v>AIMS-ACT-006</x:v>
      </x:c>
      <x:c r="B10" s="16" t="str">
        <x:v>MRD-006</x:v>
      </x:c>
      <x:c r="C10" s="16" t="str">
        <x:v>Prioritize differentiated evidence work for AI-001, AI-002 and AI-003</x:v>
      </x:c>
      <x:c r="D10" s="16" t="str">
        <x:v>Moderate</x:v>
      </x:c>
      <x:c r="E10" s="16" t="str">
        <x:v>Eleanor Duckford - AI Governance Lead</x:v>
      </x:c>
      <x:c r="F10" s="16" t="str">
        <x:v>2026-09-08</x:v>
      </x:c>
      <x:c r="G10" s="16" t="str">
        <x:v>2026-12-31</x:v>
      </x:c>
      <x:c r="H10" s="16" t="str">
        <x:v>Open</x:v>
      </x:c>
      <x:c r="I10" s="16" t="str">
        <x:v>Portfolio capacity and distinct control archetype</x:v>
      </x:c>
      <x:c r="J10" s="16" t="str">
        <x:v>Approved prioritization decision and bounded evidence packages</x:v>
      </x:c>
      <x:c r="K10" s="16" t="str">
        <x:v>Defer if work duplicates existing archetypes or weakens consolidation</x:v>
      </x:c>
      <x:c r="L10" s="16" t="str">
        <x:v>MONITOR_OPEN</x:v>
      </x:c>
      <x:c r="M10" s="16" t="str">
        <x:v>EV-AIMS-014</x:v>
      </x:c>
      <x:c r="N10" s="16" t="str">
        <x:v>Portfolio opportunity only; no production claim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6" hidden="0" customWidth="1"/>
    <x:col min="4" max="4" width="2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</x:cols>
  <x:sheetData>
    <x:row r="1" ht="30" customHeight="1">
      <x:c r="A1" s="2" t="str">
        <x:v>Executable Management Action Gate Results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5" t="str">
        <x:v>undefined | 6/6 expected results met | zero actions auto-closed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4">
      <x:c r="A4" s="10" t="str">
        <x:v>Action ID</x:v>
      </x:c>
      <x:c r="B4" s="10" t="str">
        <x:v>Status</x:v>
      </x:c>
      <x:c r="C4" s="10" t="str">
        <x:v>Gate Result</x:v>
      </x:c>
      <x:c r="D4" s="10" t="str">
        <x:v>Expected</x:v>
      </x:c>
      <x:c r="E4" s="10" t="str">
        <x:v>Expected Met</x:v>
      </x:c>
      <x:c r="F4" s="10" t="str">
        <x:v>Due Date</x:v>
      </x:c>
      <x:c r="G4" s="10" t="str">
        <x:v>As-of Date</x:v>
      </x:c>
      <x:c r="H4" s="10" t="str">
        <x:v>Escalation</x:v>
      </x:c>
      <x:c r="I4" s="10" t="str">
        <x:v>Auto-closed</x:v>
      </x:c>
      <x:c r="J4" s="10" t="str">
        <x:v>Boundary</x:v>
      </x:c>
    </x:row>
    <x:row r="5">
      <x:c r="A5" s="16" t="str">
        <x:v>AIMS-ACT-001</x:v>
      </x:c>
      <x:c r="B5" s="16" t="str">
        <x:v>Open</x:v>
      </x:c>
      <x:c r="C5" s="16" t="str">
        <x:v>MONITOR_OPEN</x:v>
      </x:c>
      <x:c r="D5" s="16" t="str">
        <x:v>MONITOR_OPEN</x:v>
      </x:c>
      <x:c r="E5" s="16" t="str">
        <x:v>Yes</x:v>
      </x:c>
      <x:c r="F5" s="16" t="str">
        <x:v>2026-10-30</x:v>
      </x:c>
      <x:c r="G5" s="16" t="str">
        <x:v>2026-10-01</x:v>
      </x:c>
      <x:c r="H5" s="16" t="str">
        <x:v>No</x:v>
      </x:c>
      <x:c r="I5" s="16" t="str">
        <x:v>No</x:v>
      </x:c>
      <x:c r="J5" s="16" t="str">
        <x:v>Synthetic scenario; human decision required</x:v>
      </x:c>
    </x:row>
    <x:row r="6">
      <x:c r="A6" s="16" t="str">
        <x:v>AIMS-ACT-002</x:v>
      </x:c>
      <x:c r="B6" s="16" t="str">
        <x:v>Blocked</x:v>
      </x:c>
      <x:c r="C6" s="16" t="str">
        <x:v>BLOCKED_DEPENDENCY</x:v>
      </x:c>
      <x:c r="D6" s="16" t="str">
        <x:v>BLOCKED_DEPENDENCY</x:v>
      </x:c>
      <x:c r="E6" s="16" t="str">
        <x:v>Yes</x:v>
      </x:c>
      <x:c r="F6" s="16" t="str">
        <x:v>2026-12-15</x:v>
      </x:c>
      <x:c r="G6" s="16" t="str">
        <x:v>2026-10-01</x:v>
      </x:c>
      <x:c r="H6" s="16" t="str">
        <x:v>No</x:v>
      </x:c>
      <x:c r="I6" s="16" t="str">
        <x:v>No</x:v>
      </x:c>
      <x:c r="J6" s="16" t="str">
        <x:v>Synthetic scenario; human decision required</x:v>
      </x:c>
    </x:row>
    <x:row r="7">
      <x:c r="A7" s="16" t="str">
        <x:v>AIMS-ACT-003</x:v>
      </x:c>
      <x:c r="B7" s="16" t="str">
        <x:v>In Progress</x:v>
      </x:c>
      <x:c r="C7" s="16" t="str">
        <x:v>ESCALATE_OVERDUE</x:v>
      </x:c>
      <x:c r="D7" s="16" t="str">
        <x:v>ESCALATE_OVERDUE</x:v>
      </x:c>
      <x:c r="E7" s="16" t="str">
        <x:v>Yes</x:v>
      </x:c>
      <x:c r="F7" s="16" t="str">
        <x:v>2026-09-30</x:v>
      </x:c>
      <x:c r="G7" s="16" t="str">
        <x:v>2026-10-01</x:v>
      </x:c>
      <x:c r="H7" s="16" t="str">
        <x:v>Yes</x:v>
      </x:c>
      <x:c r="I7" s="16" t="str">
        <x:v>No</x:v>
      </x:c>
      <x:c r="J7" s="16" t="str">
        <x:v>Synthetic scenario; human decision required</x:v>
      </x:c>
    </x:row>
    <x:row r="8">
      <x:c r="A8" s="16" t="str">
        <x:v>AIMS-ACT-004</x:v>
      </x:c>
      <x:c r="B8" s="16" t="str">
        <x:v>Open</x:v>
      </x:c>
      <x:c r="C8" s="16" t="str">
        <x:v>MONITOR_OPEN</x:v>
      </x:c>
      <x:c r="D8" s="16" t="str">
        <x:v>MONITOR_OPEN</x:v>
      </x:c>
      <x:c r="E8" s="16" t="str">
        <x:v>Yes</x:v>
      </x:c>
      <x:c r="F8" s="16" t="str">
        <x:v>2026-12-31</x:v>
      </x:c>
      <x:c r="G8" s="16" t="str">
        <x:v>2026-10-01</x:v>
      </x:c>
      <x:c r="H8" s="16" t="str">
        <x:v>No</x:v>
      </x:c>
      <x:c r="I8" s="16" t="str">
        <x:v>No</x:v>
      </x:c>
      <x:c r="J8" s="16" t="str">
        <x:v>Synthetic scenario; human decision required</x:v>
      </x:c>
    </x:row>
    <x:row r="9">
      <x:c r="A9" s="16" t="str">
        <x:v>AIMS-ACT-005</x:v>
      </x:c>
      <x:c r="B9" s="16" t="str">
        <x:v>Open</x:v>
      </x:c>
      <x:c r="C9" s="16" t="str">
        <x:v>MONITOR_OPEN</x:v>
      </x:c>
      <x:c r="D9" s="16" t="str">
        <x:v>MONITOR_OPEN</x:v>
      </x:c>
      <x:c r="E9" s="16" t="str">
        <x:v>Yes</x:v>
      </x:c>
      <x:c r="F9" s="16" t="str">
        <x:v>2026-11-30</x:v>
      </x:c>
      <x:c r="G9" s="16" t="str">
        <x:v>2026-10-01</x:v>
      </x:c>
      <x:c r="H9" s="16" t="str">
        <x:v>No</x:v>
      </x:c>
      <x:c r="I9" s="16" t="str">
        <x:v>No</x:v>
      </x:c>
      <x:c r="J9" s="16" t="str">
        <x:v>Synthetic scenario; human decision required</x:v>
      </x:c>
    </x:row>
    <x:row r="10">
      <x:c r="A10" s="16" t="str">
        <x:v>AIMS-ACT-006</x:v>
      </x:c>
      <x:c r="B10" s="16" t="str">
        <x:v>Open</x:v>
      </x:c>
      <x:c r="C10" s="16" t="str">
        <x:v>MONITOR_OPEN</x:v>
      </x:c>
      <x:c r="D10" s="16" t="str">
        <x:v>MONITOR_OPEN</x:v>
      </x:c>
      <x:c r="E10" s="16" t="str">
        <x:v>Yes</x:v>
      </x:c>
      <x:c r="F10" s="16" t="str">
        <x:v>2026-12-31</x:v>
      </x:c>
      <x:c r="G10" s="16" t="str">
        <x:v>2026-10-01</x:v>
      </x:c>
      <x:c r="H10" s="16" t="str">
        <x:v>No</x:v>
      </x:c>
      <x:c r="I10" s="16" t="str">
        <x:v>No</x:v>
      </x:c>
      <x:c r="J10" s="16" t="str">
        <x:v>Synthetic scenario; human decision required</x:v>
      </x:c>
    </x:row>
  </x:sheetData>
  <x:mergeCells>
    <x:mergeCell ref="A1:J1"/>
    <x:mergeCell ref="A2:J2"/>
  </x:mergeCells>
  <x:conditionalFormatting sqref="C5:C10">
    <x:cfRule type="containsText" dxfId="5" priority="1" operator="containsText" text="ESCALATE"/>
    <x:cfRule type="containsText" dxfId="6" priority="2" operator="containsText" text="BLOCK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28" hidden="0" customWidth="1"/>
  </x:cols>
  <x:sheetData>
    <x:row r="1" ht="30" customHeight="1">
      <x:c r="A1" s="2" t="str">
        <x:v>Management Review Input Summary</x:v>
      </x:c>
      <x:c r="B1" s="2"/>
      <x:c r="C1" s="2"/>
      <x:c r="D1" s="2"/>
    </x:row>
    <x:row r="2" ht="28" customHeight="1">
      <x:c r="A2" s="5" t="str">
        <x:v>MR-AIMS-2026-002 | evidence-consuming synthetic review</x:v>
      </x:c>
      <x:c r="B2" s="5"/>
      <x:c r="C2" s="5"/>
      <x:c r="D2" s="5"/>
    </x:row>
    <x:row r="4">
      <x:c r="A4" s="10" t="str">
        <x:v>Input</x:v>
      </x:c>
      <x:c r="B4" s="10" t="str">
        <x:v>Observed condition</x:v>
      </x:c>
      <x:c r="C4" s="10" t="str">
        <x:v>Decision implication</x:v>
      </x:c>
      <x:c r="D4" s="10" t="str">
        <x:v>Evidence IDs</x:v>
      </x:c>
    </x:row>
    <x:row r="5">
      <x:c r="A5" s="16" t="str">
        <x:v>Prior actions</x:v>
      </x:c>
      <x:c r="B5" s="16" t="str">
        <x:v>v1.4 support milestone published; objectives and support controls available</x:v>
      </x:c>
      <x:c r="C5" s="16" t="str">
        <x:v>Move from design to management use and follow-up</x:v>
      </x:c>
      <x:c r="D5" s="16" t="str">
        <x:v>EV-AIMS-001–008</x:v>
      </x:c>
    </x:row>
    <x:row r="6">
      <x:c r="A6" s="16" t="str">
        <x:v>Objectives</x:v>
      </x:c>
      <x:c r="B6" s="16" t="str">
        <x:v>3 Met, 3 At risk, 2 Blocked</x:v>
      </x:c>
      <x:c r="C6" s="16" t="str">
        <x:v>Assign actions; retain existing gates</x:v>
      </x:c>
      <x:c r="D6" s="16" t="str">
        <x:v>EV-AIMS-011</x:v>
      </x:c>
    </x:row>
    <x:row r="7">
      <x:c r="A7" s="16" t="str">
        <x:v>AIMS risks</x:v>
      </x:c>
      <x:c r="B7" s="16" t="str">
        <x:v>1 Critical, 5 High, 1 Moderate; one High opportunity</x:v>
      </x:c>
      <x:c r="C7" s="16" t="str">
        <x:v>Prioritize AR-07, AR-03, AR-04 and AR-06</x:v>
      </x:c>
      <x:c r="D7" s="16" t="str">
        <x:v>EV-AIMS-010</x:v>
      </x:c>
    </x:row>
    <x:row r="8">
      <x:c r="A8" s="16" t="str">
        <x:v>Evidence coverage</x:v>
      </x:c>
      <x:c r="B8" s="16" t="str">
        <x:v>58 records; 52 available; 6 unavailable; 3/6 systems have worked evidence</x:v>
      </x:c>
      <x:c r="C8" s="16" t="str">
        <x:v>No production-effectiveness claim</x:v>
      </x:c>
      <x:c r="D8" s="16" t="str">
        <x:v>EV-AIMS-011</x:v>
      </x:c>
    </x:row>
    <x:row r="9">
      <x:c r="A9" s="16" t="str">
        <x:v>Supplier governance</x:v>
      </x:c>
      <x:c r="B9" s="16" t="str">
        <x:v>PondGPT conditions remain unresolved</x:v>
      </x:c>
      <x:c r="C9" s="16" t="str">
        <x:v>Maintain restricted pilot</x:v>
      </x:c>
      <x:c r="D9" s="16" t="str">
        <x:v>EV-PT-013; EV-AIMS-010</x:v>
      </x:c>
    </x:row>
    <x:row r="10">
      <x:c r="A10" s="16" t="str">
        <x:v>Competence</x:v>
      </x:c>
      <x:c r="B10" s="16" t="str">
        <x:v>One eligible and two blocked synthetic records</x:v>
      </x:c>
      <x:c r="C10" s="16" t="str">
        <x:v>Escalate overdue remediation in follow-up scenario</x:v>
      </x:c>
      <x:c r="D10" s="16" t="str">
        <x:v>EV-AIMS-004; EV-AIMS-015</x:v>
      </x:c>
    </x:row>
    <x:row r="11">
      <x:c r="A11" s="16" t="str">
        <x:v>Audit/improvement</x:v>
      </x:c>
      <x:c r="B11" s="16" t="str">
        <x:v>One bounded audit cycle; no recurring independent program</x:v>
      </x:c>
      <x:c r="C11" s="16" t="str">
        <x:v>Create AIMS-ACT-005</x:v>
      </x:c>
      <x:c r="D11" s="16" t="str">
        <x:v>EV-AUD-001–008</x:v>
      </x:c>
    </x:row>
    <x:row r="12">
      <x:c r="A12" s="16" t="str">
        <x:v>Management outcome</x:v>
      </x:c>
      <x:c r="B12" s="16" t="str">
        <x:v>Six actions assigned; no score or gate changes</x:v>
      </x:c>
      <x:c r="C12" s="16" t="str">
        <x:v>Human owners retain all decisions</x:v>
      </x:c>
      <x:c r="D12" s="16" t="str">
        <x:v>EV-AIMS-013–016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2" t="str">
        <x:v>Read Me — AIMS Risk, Opportunity and Management Review Register</x:v>
      </x:c>
      <x:c r="B1" s="2"/>
      <x:c r="C1" s="2"/>
      <x:c r="D1" s="2"/>
      <x:c r="E1" s="2"/>
      <x:c r="F1" s="2"/>
    </x:row>
    <x:row r="3">
      <x:c r="A3" s="10" t="str">
        <x:v>Purpose</x:v>
      </x:c>
      <x:c r="B3" s="16" t="str">
        <x:v>Demonstrate a bounded synthetic AIMS risk/opportunity and management-review follow-up cycle.</x:v>
      </x:c>
    </x:row>
    <x:row r="4">
      <x:c r="A4" s="10" t="str">
        <x:v>Release</x:v>
      </x:c>
      <x:c r="B4" s="16" t="str">
        <x:v>v1.5</x:v>
      </x:c>
    </x:row>
    <x:row r="5">
      <x:c r="A5" s="10" t="str">
        <x:v>Review record</x:v>
      </x:c>
      <x:c r="B5" s="16" t="str">
        <x:v>MR-AIMS-2026-002</x:v>
      </x:c>
    </x:row>
    <x:row r="6">
      <x:c r="A6" s="10" t="str">
        <x:v>Evidence IDs</x:v>
      </x:c>
      <x:c r="B6" s="16" t="str">
        <x:v>EV-AIMS-009 through EV-AIMS-016</x:v>
      </x:c>
    </x:row>
    <x:row r="7">
      <x:c r="A7" s="10" t="str">
        <x:v>Editable inputs</x:v>
      </x:c>
      <x:c r="B7" s="16" t="str">
        <x:v>Risk/opportunity records, objective observations and management action data.</x:v>
      </x:c>
    </x:row>
    <x:row r="8">
      <x:c r="A8" s="10" t="str">
        <x:v>Calculated fields</x:v>
      </x:c>
      <x:c r="B8" s="16" t="str">
        <x:v>Dashboard counts reference the source sheets; the Python gate independently evaluates action conditions.</x:v>
      </x:c>
    </x:row>
    <x:row r="9">
      <x:c r="A9" s="10" t="str">
        <x:v>Human decision boundary</x:v>
      </x:c>
      <x:c r="B9" s="16" t="str">
        <x:v>Automation cannot accept risk, change lifecycle gates, authorize deployment or close actions.</x:v>
      </x:c>
    </x:row>
    <x:row r="10">
      <x:c r="A10" s="10" t="str">
        <x:v>Time boundary</x:v>
      </x:c>
      <x:c r="B10" s="16" t="str">
        <x:v>The 2026-10-01 gate is an explicit synthetic follow-up scenario, not a claim that calendar time elapsed.</x:v>
      </x:c>
    </x:row>
    <x:row r="11">
      <x:c r="A11" s="10" t="str">
        <x:v>ISO boundary</x:v>
      </x:c>
      <x:c r="B11" s="16" t="str">
        <x:v>M01–M18 are local themes; this is not a clause-level conformity assessment or certification claim.</x:v>
      </x:c>
    </x:row>
    <x:row r="12">
      <x:c r="A12" s="10" t="str">
        <x:v>Production boundary</x:v>
      </x:c>
      <x:c r="B12" s="16" t="str">
        <x:v>No production operation, effectiveness, legal compliance or independent assurance is asserted.</x:v>
      </x:c>
    </x:row>
    <x:row r="13">
      <x:c r="A13" s="10" t="str">
        <x:v>Maintenance</x:v>
      </x:c>
      <x:c r="B13" s="16" t="str">
        <x:v>Reconcile after material evidence changes and before each management review.</x:v>
      </x:c>
    </x:row>
  </x:sheetData>
  <x:mergeCells>
    <x:mergeCell ref="A1:F1"/>
  </x:mergeCells>
  <x:pageMargins left="0.7" right="0.7" top="0.75" bottom="0.75" header="0.3" footer="0.3"/>
</x:worksheet>
</file>