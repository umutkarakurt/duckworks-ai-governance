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a070011c344c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338988bbe28491b"/>
    <x:sheet xmlns:r="http://schemas.openxmlformats.org/officeDocument/2006/relationships" name="Audit Universe" sheetId="2" r:id="Reb23337ca0694523"/>
    <x:sheet xmlns:r="http://schemas.openxmlformats.org/officeDocument/2006/relationships" name="Annual Programme" sheetId="3" r:id="R8dd83eb315c049e0"/>
    <x:sheet xmlns:r="http://schemas.openxmlformats.org/officeDocument/2006/relationships" name="First Wave Tests" sheetId="4" r:id="Rede9308d5a384358"/>
    <x:sheet xmlns:r="http://schemas.openxmlformats.org/officeDocument/2006/relationships" name="Evidence Requests" sheetId="5" r:id="Rc4ec5501d649464f"/>
    <x:sheet xmlns:r="http://schemas.openxmlformats.org/officeDocument/2006/relationships" name="Findings" sheetId="6" r:id="R6d045801a3ae4942"/>
    <x:sheet xmlns:r="http://schemas.openxmlformats.org/officeDocument/2006/relationships" name="Decision Rules" sheetId="7" r:id="R526188dcd0204a9e"/>
    <x:sheet xmlns:r="http://schemas.openxmlformats.org/officeDocument/2006/relationships" name="Read Me" sheetId="8" r:id="R3a6cd797f63644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1F2933"/>
      <x:name val="Arial"/>
    </x:font>
    <x:font>
      <x:b/>
      <x:sz val="16"/>
      <x:color rgb="FF17324D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5"/>
      <x:color rgb="FF17324D"/>
      <x:name val="Carlito"/>
    </x:font>
    <x:font>
      <x:b/>
      <x:sz val="11"/>
      <x:color rgb="FF17324D"/>
      <x:name val="Carlito"/>
    </x:font>
    <x:font>
      <x:sz val="11"/>
      <x:color rgb="FF17324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56582"/>
      </x:patternFill>
    </x:fill>
    <x:fill>
      <x:patternFill patternType="solid">
        <x:fgColor rgb="FFFFF0C7"/>
      </x:patternFill>
    </x:fill>
  </x:fills>
  <x:borders count="10">
    <x:border/>
    <x:border>
      <x:left style="thin">
        <x:color rgb="FFC9D6DE"/>
      </x:left>
      <x:right style="thin">
        <x:color rgb="FFC9D6DE"/>
      </x:right>
      <x:top style="thin">
        <x:color rgb="FFC9D6DE"/>
      </x:top>
      <x:bottom style="thin">
        <x:color rgb="FFC9D6DE"/>
      </x:bottom>
    </x:border>
    <x:border>
      <x:left style="medium">
        <x:color rgb="FFC69214"/>
      </x:left>
      <x:top style="medium">
        <x:color rgb="FFC69214"/>
      </x:top>
    </x:border>
    <x:border>
      <x:top style="medium">
        <x:color rgb="FFC69214"/>
      </x:top>
    </x:border>
    <x:border>
      <x:right style="medium">
        <x:color rgb="FFC69214"/>
      </x:right>
      <x:top style="medium">
        <x:color rgb="FFC69214"/>
      </x:top>
    </x:border>
    <x:border>
      <x:left style="medium">
        <x:color rgb="FFC69214"/>
      </x:left>
    </x:border>
    <x:border>
      <x:right style="medium">
        <x:color rgb="FFC69214"/>
      </x:right>
    </x:border>
    <x:border>
      <x:left style="medium">
        <x:color rgb="FFC69214"/>
      </x:left>
      <x:bottom style="medium">
        <x:color rgb="FFC69214"/>
      </x:bottom>
    </x:border>
    <x:border>
      <x:bottom style="medium">
        <x:color rgb="FFC69214"/>
      </x:bottom>
    </x:border>
    <x:border>
      <x:right style="medium">
        <x:color rgb="FFC69214"/>
      </x:right>
      <x:bottom style="medium">
        <x:color rgb="FFC69214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6" fillId="3" borderId="2" xfId="0" applyNumberFormat="1" applyFont="1" applyFill="1" applyBorder="1"/>
    <x:xf numFmtId="0" fontId="7" fillId="3" borderId="5" xfId="0" applyNumberFormat="1" applyFont="1" applyFill="1" applyBorder="1"/>
    <x:xf numFmtId="0" fontId="7" fillId="3" borderId="5" xfId="0" applyNumberFormat="1" applyFont="1" applyFill="1" applyBorder="1" applyAlignment="1">
      <x:alignment wrapText="1"/>
    </x:xf>
    <x:xf numFmtId="0" fontId="7" fillId="3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b/>
        <x:color rgb="FF9C2B20"/>
      </x:font>
      <x:fill>
        <x:patternFill patternType="solid">
          <x:bgColor rgb="FFFADBD8"/>
        </x:patternFill>
      </x:fill>
    </x:dxf>
    <x:dxf>
      <x:font>
        <x:b/>
        <x:color rgb="FF8A5A00"/>
      </x:font>
      <x:fill>
        <x:patternFill patternType="solid">
          <x:bgColor rgb="FFFFF0C7"/>
        </x:patternFill>
      </x:fill>
    </x:dxf>
    <x:dxf>
      <x:font>
        <x:b/>
        <x:color rgb="FF236B35"/>
      </x:font>
      <x:fill>
        <x:patternFill patternType="solid">
          <x:bgColor rgb="FFDDF2E1"/>
        </x:patternFill>
      </x:fill>
    </x:dxf>
    <x:dxf>
      <x:font>
        <x:b/>
        <x:color rgb="FF236B35"/>
      </x:font>
      <x:fill>
        <x:patternFill patternType="solid">
          <x:bgColor rgb="FFDDF2E1"/>
        </x:patternFill>
      </x:fill>
    </x:dxf>
    <x:dxf>
      <x:font>
        <x:b/>
        <x:color rgb="FF9C2B20"/>
      </x:font>
      <x:fill>
        <x:patternFill patternType="solid">
          <x:bgColor rgb="FFFADBD8"/>
        </x:patternFill>
      </x:fill>
    </x:dxf>
    <x:dxf>
      <x:font>
        <x:b/>
        <x:color rgb="FF8A5A00"/>
      </x:font>
      <x:fill>
        <x:patternFill patternType="solid">
          <x:bgColor rgb="FFFFF0C7"/>
        </x:patternFill>
      </x:fill>
    </x:dxf>
    <x:dxf>
      <x:font>
        <x:b/>
        <x:color rgb="FF9C2B20"/>
      </x:font>
      <x:fill>
        <x:patternFill patternType="solid">
          <x:bgColor rgb="FFFADBD8"/>
        </x:patternFill>
      </x:fill>
    </x:dxf>
    <x:dxf>
      <x:font>
        <x:b/>
        <x:color rgb="FF9C2B20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745556d513468f" /><Relationship Type="http://schemas.openxmlformats.org/officeDocument/2006/relationships/theme" Target="/xl/theme/theme1.xml" Id="R262c3c0b169d4f3e" /><Relationship Type="http://schemas.openxmlformats.org/officeDocument/2006/relationships/sharedStrings" Target="/xl/sharedStrings.xml" Id="R11a980c0d8b34b32" /><Relationship Type="http://schemas.openxmlformats.org/officeDocument/2006/relationships/worksheet" Target="/xl/worksheets/sheet1.xml" Id="R0338988bbe28491b" /><Relationship Type="http://schemas.openxmlformats.org/officeDocument/2006/relationships/worksheet" Target="/xl/worksheets/sheet2.xml" Id="Reb23337ca0694523" /><Relationship Type="http://schemas.openxmlformats.org/officeDocument/2006/relationships/worksheet" Target="/xl/worksheets/sheet3.xml" Id="R8dd83eb315c049e0" /><Relationship Type="http://schemas.openxmlformats.org/officeDocument/2006/relationships/worksheet" Target="/xl/worksheets/sheet4.xml" Id="Rede9308d5a384358" /><Relationship Type="http://schemas.openxmlformats.org/officeDocument/2006/relationships/worksheet" Target="/xl/worksheets/sheet5.xml" Id="Rc4ec5501d649464f" /><Relationship Type="http://schemas.openxmlformats.org/officeDocument/2006/relationships/worksheet" Target="/xl/worksheets/sheet6.xml" Id="R6d045801a3ae4942" /><Relationship Type="http://schemas.openxmlformats.org/officeDocument/2006/relationships/worksheet" Target="/xl/worksheets/sheet7.xml" Id="R526188dcd0204a9e" /><Relationship Type="http://schemas.openxmlformats.org/officeDocument/2006/relationships/worksheet" Target="/xl/worksheets/sheet8.xml" Id="R3a6cd797f6364468" /></Relationships>
</file>

<file path=xl/tables/table1.xml><?xml version="1.0" encoding="utf-8"?>
<x:table xmlns:x="http://schemas.openxmlformats.org/spreadsheetml/2006/main" id="1" name="AIMSAuditUniverse" displayName="AIMSAuditUniverse" ref="A4:Q49" headerRowCount="1" totalsRowCount="0" totalsRowShown="0">
  <x:tableColumns count="17">
    <x:tableColumn id="1" name="Audit_Universe_ID"/>
    <x:tableColumn id="2" name="Control_ID"/>
    <x:tableColumn id="3" name="Control_Name"/>
    <x:tableColumn id="4" name="Control_Type"/>
    <x:tableColumn id="5" name="Control_Owner"/>
    <x:tableColumn id="6" name="Applicability"/>
    <x:tableColumn id="7" name="Source_Implementation_Status"/>
    <x:tableColumn id="8" name="Evidence_Status"/>
    <x:tableColumn id="9" name="Assurance_Priority"/>
    <x:tableColumn id="10" name="Testing_Frequency"/>
    <x:tableColumn id="11" name="Next_Audit_Date"/>
    <x:tableColumn id="12" name="Planned_Engagement_ID"/>
    <x:tableColumn id="13" name="Related_Risk_IDs"/>
    <x:tableColumn id="14" name="Finding_ID"/>
    <x:tableColumn id="15" name="Priority_Rationale"/>
    <x:tableColumn id="16" name="Production_Effectiveness_Claim"/>
    <x:tableColumn id="17" name="Human_Disposition_Requir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IMSAnnualProgramme" displayName="AIMSAnnualProgramme" ref="A4:L8" headerRowCount="1" totalsRowCount="0" totalsRowShown="0">
  <x:tableColumns count="12">
    <x:tableColumn id="1" name="Engagement_ID"/>
    <x:tableColumn id="2" name="Engagement"/>
    <x:tableColumn id="3" name="Scope"/>
    <x:tableColumn id="4" name="Population_Count"/>
    <x:tableColumn id="5" name="Planned_Start"/>
    <x:tableColumn id="6" name="Planned_End"/>
    <x:tableColumn id="7" name="Frequency"/>
    <x:tableColumn id="8" name="Status"/>
    <x:tableColumn id="9" name="Lead_Role"/>
    <x:tableColumn id="10" name="Independence_Safeguard"/>
    <x:tableColumn id="11" name="Deliverables"/>
    <x:tableColumn id="12" name="Decision_Boundar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IMSFirstWaveTests" displayName="AIMSFirstWaveTests" ref="A4:K18" headerRowCount="1" totalsRowCount="0" totalsRowShown="0">
  <x:tableColumns count="11">
    <x:tableColumn id="1" name="Test_ID"/>
    <x:tableColumn id="2" name="Engagement_ID"/>
    <x:tableColumn id="3" name="Control_ID"/>
    <x:tableColumn id="4" name="Test_Procedure"/>
    <x:tableColumn id="5" name="Criterion"/>
    <x:tableColumn id="6" name="Expected_Evidence"/>
    <x:tableColumn id="7" name="Result"/>
    <x:tableColumn id="8" name="Exception"/>
    <x:tableColumn id="9" name="Conclusion"/>
    <x:tableColumn id="10" name="Reviewer"/>
    <x:tableColumn id="11" name="Review_D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IMSEvidenceRequests" displayName="AIMSEvidenceRequests" ref="A4:L16" headerRowCount="1" totalsRowCount="0" totalsRowShown="0">
  <x:tableColumns count="12">
    <x:tableColumn id="1" name="Request_ID"/>
    <x:tableColumn id="2" name="Engagement_ID"/>
    <x:tableColumn id="3" name="Control_ID"/>
    <x:tableColumn id="4" name="Request_Type"/>
    <x:tableColumn id="5" name="Evidence_Requested"/>
    <x:tableColumn id="6" name="Requested_From"/>
    <x:tableColumn id="7" name="Request_Date"/>
    <x:tableColumn id="8" name="Due_Date"/>
    <x:tableColumn id="9" name="Repository_Response"/>
    <x:tableColumn id="10" name="Request_Status"/>
    <x:tableColumn id="11" name="Evidence_ID"/>
    <x:tableColumn id="12" name="Reviewer_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IMSAuditFindings" displayName="AIMSAuditFindings" ref="A4:Q6" headerRowCount="1" totalsRowCount="0" totalsRowShown="0">
  <x:tableColumns count="17">
    <x:tableColumn id="1" name="Finding_ID"/>
    <x:tableColumn id="2" name="Engagement_ID"/>
    <x:tableColumn id="3" name="Control_ID"/>
    <x:tableColumn id="4" name="Title"/>
    <x:tableColumn id="5" name="Severity"/>
    <x:tableColumn id="6" name="Condition"/>
    <x:tableColumn id="7" name="Criteria"/>
    <x:tableColumn id="8" name="Cause"/>
    <x:tableColumn id="9" name="Effect"/>
    <x:tableColumn id="10" name="Required_Action"/>
    <x:tableColumn id="11" name="Action_Owner"/>
    <x:tableColumn id="12" name="Due_Date"/>
    <x:tableColumn id="13" name="Management_Response"/>
    <x:tableColumn id="14" name="Status"/>
    <x:tableColumn id="15" name="Closure_Evidence"/>
    <x:tableColumn id="16" name="Independent_Validation"/>
    <x:tableColumn id="17" name="Auto_Clos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320d27a33a47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629563a92534a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a432f22343747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7375cb00b9242b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93e12555fb74167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8" customHeight="1">
      <x:c r="A2" s="2" t="str">
        <x:v>Duckworks AIMS Internal Audit Programme</x:v>
      </x:c>
    </x:row>
    <x:row r="3" ht="26" customHeight="1">
      <x:c r="A3" s="4" t="str">
        <x:v>v1.0 | Project W.I.N.G. v1.7 | complete 45-control universe | bounded synthetic assurance only</x:v>
      </x:c>
    </x:row>
    <x:row r="5">
      <x:c r="A5" s="10" t="str">
        <x:v>Controls</x:v>
      </x:c>
      <x:c r="B5" s="10" t="str">
        <x:v>P1 Immediate</x:v>
      </x:c>
      <x:c r="C5" s="10" t="str">
        <x:v>P2 High</x:v>
      </x:c>
      <x:c r="D5" s="10" t="str">
        <x:v>P3 Medium</x:v>
      </x:c>
      <x:c r="E5" s="10" t="str">
        <x:v>First-wave controls</x:v>
      </x:c>
      <x:c r="F5" s="10" t="str">
        <x:v>Open findings</x:v>
      </x:c>
      <x:c r="G5" s="10" t="str">
        <x:v>Auto-closed</x:v>
      </x:c>
      <x:c r="H5" s="10" t="str">
        <x:v>Human disposition</x:v>
      </x:c>
    </x:row>
    <x:row r="6" ht="30" customHeight="1">
      <x:c r="A6" s="13" t="n">
        <x:f>COUNTA('Audit Universe'!B5:B49)</x:f>
        <x:v>45</x:v>
      </x:c>
      <x:c r="B6" s="13" t="n">
        <x:f>COUNTIF('Audit Universe'!I5:I49,"P1 Immediate")</x:f>
        <x:v>2</x:v>
      </x:c>
      <x:c r="C6" s="13" t="n">
        <x:f>COUNTIF('Audit Universe'!I5:I49,"P2 High")</x:f>
        <x:v>23</x:v>
      </x:c>
      <x:c r="D6" s="13" t="n">
        <x:f>COUNTIF('Audit Universe'!I5:I49,"P3 Medium")</x:f>
        <x:v>20</x:v>
      </x:c>
      <x:c r="E6" s="13" t="n">
        <x:f>COUNTA('Findings'!C5:C6)</x:f>
        <x:v>2</x:v>
      </x:c>
      <x:c r="F6" s="13" t="n">
        <x:f>COUNTIF('Findings'!N5:N6,"Open — management response required")</x:f>
        <x:v>2</x:v>
      </x:c>
      <x:c r="G6" s="13" t="n">
        <x:f>COUNTIF('Findings'!Q5:Q6,"Yes")</x:f>
        <x:v>0</x:v>
      </x:c>
      <x:c r="H6" s="13" t="str">
        <x:v>Required</x:v>
      </x:c>
    </x:row>
    <x:row r="9">
      <x:c r="A9" s="10" t="str">
        <x:v>Assurance indicator</x:v>
      </x:c>
      <x:c r="B9" s="10" t="str">
        <x:v>Result</x:v>
      </x:c>
      <x:c r="C9" s="10" t="str">
        <x:v>Interpretation</x:v>
      </x:c>
      <x:c r="D9" s="10" t="str">
        <x:v>Required response</x:v>
      </x:c>
    </x:row>
    <x:row r="10">
      <x:c r="A10" s="14" t="str">
        <x:v>Audit universe</x:v>
      </x:c>
      <x:c r="B10" s="14" t="str">
        <x:v>45 of 45 controls allocated</x:v>
      </x:c>
      <x:c r="C10" s="14" t="str">
        <x:v>Current control population is fully scheduled</x:v>
      </x:c>
      <x:c r="D10" s="14" t="str">
        <x:v>Maintain after material changes</x:v>
      </x:c>
    </x:row>
    <x:row r="11">
      <x:c r="A11" s="14" t="str">
        <x:v>First wave</x:v>
      </x:c>
      <x:c r="B11" s="14" t="str">
        <x:v>DD-01 and FF-01 tested</x:v>
      </x:c>
      <x:c r="C11" s="14" t="str">
        <x:v>Both Implemented source labels lack linked evidence</x:v>
      </x:c>
      <x:c r="D11" s="14" t="str">
        <x:v>Provide evidence or approve status downgrade</x:v>
      </x:c>
    </x:row>
    <x:row r="12">
      <x:c r="A12" s="14" t="str">
        <x:v>Findings</x:v>
      </x:c>
      <x:c r="B12" s="14" t="str">
        <x:v>2 High / open</x:v>
      </x:c>
      <x:c r="C12" s="14" t="str">
        <x:v>Management response and independent validation pending</x:v>
      </x:c>
      <x:c r="D12" s="14" t="str">
        <x:v>Do not award implementation or risk credit</x:v>
      </x:c>
    </x:row>
    <x:row r="13">
      <x:c r="A13" s="14" t="str">
        <x:v>Production effectiveness</x:v>
      </x:c>
      <x:c r="B13" s="14" t="str">
        <x:v>0 claims</x:v>
      </x:c>
      <x:c r="C13" s="14" t="str">
        <x:v>Repository evidence does not prove sustained real-world operation</x:v>
      </x:c>
      <x:c r="D13" s="14" t="str">
        <x:v>Retain production and outcome-evidence gaps</x:v>
      </x:c>
    </x:row>
    <x:row r="14">
      <x:c r="A14" s="14" t="str">
        <x:v>Formal audit reliance</x:v>
      </x:c>
      <x:c r="B14" s="14" t="str">
        <x:v>Not yet supported</x:v>
      </x:c>
      <x:c r="C14" s="14" t="str">
        <x:v>Independence, competence and approval record is incomplete</x:v>
      </x:c>
      <x:c r="D14" s="14" t="str">
        <x:v>Assign and authorize an independent competent reviewer</x:v>
      </x:c>
    </x:row>
    <x:row r="15">
      <x:c r="A15" s="14" t="str">
        <x:v>Executable gate</x:v>
      </x:c>
      <x:c r="B15" s="14" t="str">
        <x:v>PASS — 13/13</x:v>
      </x:c>
      <x:c r="C15" s="14" t="str">
        <x:v>Structure and bounded outcomes validate</x:v>
      </x:c>
      <x:c r="D15" s="14" t="str">
        <x:v>Automation cannot approve or close</x:v>
      </x:c>
    </x:row>
    <x:row r="18">
      <x:c r="A18" s="24" t="str">
        <x:v>Decision boundary</x:v>
      </x:c>
      <x:c r="B18" s="17"/>
      <x:c r="C18" s="17"/>
      <x:c r="D18" s="17"/>
      <x:c r="E18" s="17"/>
      <x:c r="F18" s="17"/>
      <x:c r="G18" s="17"/>
      <x:c r="H18" s="18"/>
    </x:row>
    <x:row r="19">
      <x:c r="A19" s="27" t="str">
        <x:v>This package is a synthetic repository assurance exercise. It does not demonstrate production effectiveness, legal compliance, ISO/IEC 42001 conformity, certification or a completed independent enterprise audit. Human approval is required.</x:v>
      </x:c>
      <x:c r="B19" s="15"/>
      <x:c r="C19" s="15"/>
      <x:c r="D19" s="15"/>
      <x:c r="E19" s="15"/>
      <x:c r="F19" s="15"/>
      <x:c r="G19" s="15"/>
      <x:c r="H19" s="20"/>
    </x:row>
    <x:row r="20">
      <x:c r="A20" s="21"/>
      <x:c r="B20" s="22"/>
      <x:c r="C20" s="22"/>
      <x:c r="D20" s="22"/>
      <x:c r="E20" s="22"/>
      <x:c r="F20" s="22"/>
      <x:c r="G20" s="22"/>
      <x:c r="H20" s="23"/>
    </x:row>
  </x:sheetData>
  <x:mergeCells>
    <x:mergeCell ref="A19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67D8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4" hidden="0" customWidth="1"/>
    <x:col min="4" max="4" width="20" hidden="0" customWidth="1"/>
    <x:col min="5" max="5" width="3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38" hidden="0" customWidth="1"/>
    <x:col min="14" max="14" width="20" hidden="0" customWidth="1"/>
    <x:col min="15" max="15" width="55" hidden="0" customWidth="1"/>
    <x:col min="16" max="16" width="20" hidden="0" customWidth="1"/>
    <x:col min="17" max="17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8" customHeight="1">
      <x:c r="A2" s="2" t="str">
        <x:v>AIMS Audit Universe</x:v>
      </x:c>
    </x:row>
    <x:row r="3" ht="26" customHeight="1">
      <x:c r="A3" s="4" t="str">
        <x:v>45 controls | risk-based priority, frequency and engagement allocation</x:v>
      </x:c>
    </x:row>
    <x:row r="4">
      <x:c r="A4" s="10" t="str">
        <x:v>Audit_Universe_ID</x:v>
      </x:c>
      <x:c r="B4" s="10" t="str">
        <x:v>Control_ID</x:v>
      </x:c>
      <x:c r="C4" s="10" t="str">
        <x:v>Control_Name</x:v>
      </x:c>
      <x:c r="D4" s="10" t="str">
        <x:v>Control_Type</x:v>
      </x:c>
      <x:c r="E4" s="10" t="str">
        <x:v>Control_Owner</x:v>
      </x:c>
      <x:c r="F4" s="10" t="str">
        <x:v>Applicability</x:v>
      </x:c>
      <x:c r="G4" s="10" t="str">
        <x:v>Source_Implementation_Status</x:v>
      </x:c>
      <x:c r="H4" s="10" t="str">
        <x:v>Evidence_Status</x:v>
      </x:c>
      <x:c r="I4" s="10" t="str">
        <x:v>Assurance_Priority</x:v>
      </x:c>
      <x:c r="J4" s="10" t="str">
        <x:v>Testing_Frequency</x:v>
      </x:c>
      <x:c r="K4" s="10" t="str">
        <x:v>Next_Audit_Date</x:v>
      </x:c>
      <x:c r="L4" s="10" t="str">
        <x:v>Planned_Engagement_ID</x:v>
      </x:c>
      <x:c r="M4" s="10" t="str">
        <x:v>Related_Risk_IDs</x:v>
      </x:c>
      <x:c r="N4" s="10" t="str">
        <x:v>Finding_ID</x:v>
      </x:c>
      <x:c r="O4" s="10" t="str">
        <x:v>Priority_Rationale</x:v>
      </x:c>
      <x:c r="P4" s="10" t="str">
        <x:v>Production_Effectiveness_Claim</x:v>
      </x:c>
      <x:c r="Q4" s="10" t="str">
        <x:v>Human_Disposition_Required</x:v>
      </x:c>
    </x:row>
    <x:row r="5">
      <x:c r="A5" s="28" t="str">
        <x:v>AU-001</x:v>
      </x:c>
      <x:c r="B5" s="28" t="str">
        <x:v>AI-GOV-01</x:v>
      </x:c>
      <x:c r="C5" s="28" t="str">
        <x:v>Risk-Based Lifecycle Gate</x:v>
      </x:c>
      <x:c r="D5" s="28" t="str">
        <x:v>Preventive</x:v>
      </x:c>
      <x:c r="E5" s="28" t="str">
        <x:v>Eleanor Duckford - AI Governance Lead</x:v>
      </x:c>
      <x:c r="F5" s="28" t="str">
        <x:v>Applicable</x:v>
      </x:c>
      <x:c r="G5" s="28" t="str">
        <x:v>Partially implemented</x:v>
      </x:c>
      <x:c r="H5" s="28" t="str">
        <x:v>Linked synthetic evidence</x:v>
      </x:c>
      <x:c r="I5" s="28" t="str">
        <x:v>P2 High</x:v>
      </x:c>
      <x:c r="J5" s="28" t="str">
        <x:v>Semi-annual</x:v>
      </x:c>
      <x:c r="K5" s="28" t="str">
        <x:v>2026-12-15</x:v>
      </x:c>
      <x:c r="L5" s="28" t="str">
        <x:v>AUD-AIMS-2026-002</x:v>
      </x:c>
      <x:c r="M5" s="28" t="str">
        <x:v>AI-001-R01; AI-002-R01; AI-002-R03; AI-004-R01; AI-005-R01; AI-005-R02; AI-006-R01; AI-007-R02</x:v>
      </x:c>
      <x:c r="N5" s="28" t="str"/>
      <x:c r="O5" s="28" t="str">
        <x:v>Bounded synthetic evidence is linked; design and evidence integrity require assurance before any broader claim.</x:v>
      </x:c>
      <x:c r="P5" s="28" t="str">
        <x:v>No</x:v>
      </x:c>
      <x:c r="Q5" s="28" t="str">
        <x:v>Yes</x:v>
      </x:c>
    </x:row>
    <x:row r="6">
      <x:c r="A6" s="28" t="str">
        <x:v>AU-002</x:v>
      </x:c>
      <x:c r="B6" s="28" t="str">
        <x:v>AI-GOV-02</x:v>
      </x:c>
      <x:c r="C6" s="28" t="str">
        <x:v>Material Change &amp; Reassessment Trigger</x:v>
      </x:c>
      <x:c r="D6" s="28" t="str">
        <x:v>Preventive</x:v>
      </x:c>
      <x:c r="E6" s="28" t="str">
        <x:v>Eleanor Duckford - AI Governance Lead</x:v>
      </x:c>
      <x:c r="F6" s="28" t="str">
        <x:v>Applicable</x:v>
      </x:c>
      <x:c r="G6" s="28" t="str">
        <x:v>Partially implemented</x:v>
      </x:c>
      <x:c r="H6" s="28" t="str">
        <x:v>Linked synthetic evidence</x:v>
      </x:c>
      <x:c r="I6" s="28" t="str">
        <x:v>P2 High</x:v>
      </x:c>
      <x:c r="J6" s="28" t="str">
        <x:v>Semi-annual</x:v>
      </x:c>
      <x:c r="K6" s="28" t="str">
        <x:v>2026-12-15</x:v>
      </x:c>
      <x:c r="L6" s="28" t="str">
        <x:v>AUD-AIMS-2026-002</x:v>
      </x:c>
      <x:c r="M6" s="28" t="str">
        <x:v>AI-001-R01; AI-001-R02; AI-001-R03; AI-003-R02; AI-004-R03; AI-005-R01; AI-006-R01</x:v>
      </x:c>
      <x:c r="N6" s="28" t="str"/>
      <x:c r="O6" s="28" t="str">
        <x:v>Bounded synthetic evidence is linked; design and evidence integrity require assurance before any broader claim.</x:v>
      </x:c>
      <x:c r="P6" s="28" t="str">
        <x:v>No</x:v>
      </x:c>
      <x:c r="Q6" s="28" t="str">
        <x:v>Yes</x:v>
      </x:c>
    </x:row>
    <x:row r="7">
      <x:c r="A7" s="28" t="str">
        <x:v>AU-003</x:v>
      </x:c>
      <x:c r="B7" s="28" t="str">
        <x:v>AI-GOV-03</x:v>
      </x:c>
      <x:c r="C7" s="28" t="str">
        <x:v>Control Evidence Index</x:v>
      </x:c>
      <x:c r="D7" s="28" t="str">
        <x:v>Detective</x:v>
      </x:c>
      <x:c r="E7" s="28" t="str">
        <x:v>Eleanor Duckford - AI Governance Lead</x:v>
      </x:c>
      <x:c r="F7" s="28" t="str">
        <x:v>Applicable</x:v>
      </x:c>
      <x:c r="G7" s="28" t="str">
        <x:v>Planned</x:v>
      </x:c>
      <x:c r="H7" s="28" t="str">
        <x:v>Linked synthetic evidence</x:v>
      </x:c>
      <x:c r="I7" s="28" t="str">
        <x:v>P2 High</x:v>
      </x:c>
      <x:c r="J7" s="28" t="str">
        <x:v>Semi-annual</x:v>
      </x:c>
      <x:c r="K7" s="28" t="str">
        <x:v>2026-12-15</x:v>
      </x:c>
      <x:c r="L7" s="28" t="str">
        <x:v>AUD-AIMS-2026-002</x:v>
      </x:c>
      <x:c r="M7" s="28" t="str">
        <x:v>Portfolio-wide evidence governance</x:v>
      </x:c>
      <x:c r="N7" s="28" t="str"/>
      <x:c r="O7" s="28" t="str">
        <x:v>Bounded synthetic evidence is linked; design and evidence integrity require assurance before any broader claim.</x:v>
      </x:c>
      <x:c r="P7" s="28" t="str">
        <x:v>No</x:v>
      </x:c>
      <x:c r="Q7" s="28" t="str">
        <x:v>Yes</x:v>
      </x:c>
    </x:row>
    <x:row r="8">
      <x:c r="A8" s="28" t="str">
        <x:v>AU-004</x:v>
      </x:c>
      <x:c r="B8" s="28" t="str">
        <x:v>AI-INC-01</x:v>
      </x:c>
      <x:c r="C8" s="28" t="str">
        <x:v>AI Incident, Containment &amp; Stop-Use</x:v>
      </x:c>
      <x:c r="D8" s="28" t="str">
        <x:v>Corrective</x:v>
      </x:c>
      <x:c r="E8" s="28" t="str">
        <x:v>Cassandra Duckley - Chief Information Security Officer</x:v>
      </x:c>
      <x:c r="F8" s="28" t="str">
        <x:v>Applicable</x:v>
      </x:c>
      <x:c r="G8" s="28" t="str">
        <x:v>Partially implemented</x:v>
      </x:c>
      <x:c r="H8" s="28" t="str">
        <x:v>No linked evidence</x:v>
      </x:c>
      <x:c r="I8" s="28" t="str">
        <x:v>P2 High</x:v>
      </x:c>
      <x:c r="J8" s="28" t="str">
        <x:v>Semi-annual</x:v>
      </x:c>
      <x:c r="K8" s="28" t="str">
        <x:v>2027-03-31</x:v>
      </x:c>
      <x:c r="L8" s="28" t="str">
        <x:v>AUD-AIMS-2027-001</x:v>
      </x:c>
      <x:c r="M8" s="28" t="str">
        <x:v>AI-001-R01; AI-001-R02; AI-002-R02; AI-003-R03; AI-004-R01; AI-005-R03; AI-006-R01; AI-006-R02; AI-007-R01</x:v>
      </x:c>
      <x:c r="N8" s="28" t="str"/>
      <x:c r="O8" s="28" t="str">
        <x:v>Implementation is asserted without linked evidence; prioritize design and operating-evidence testing.</x:v>
      </x:c>
      <x:c r="P8" s="28" t="str">
        <x:v>No</x:v>
      </x:c>
      <x:c r="Q8" s="28" t="str">
        <x:v>Yes</x:v>
      </x:c>
    </x:row>
    <x:row r="9">
      <x:c r="A9" s="28" t="str">
        <x:v>AU-005</x:v>
      </x:c>
      <x:c r="B9" s="28" t="str">
        <x:v>AI-TPR-01</x:v>
      </x:c>
      <x:c r="C9" s="28" t="str">
        <x:v>AI Supplier Due Diligence &amp; Contract Controls</x:v>
      </x:c>
      <x:c r="D9" s="28" t="str">
        <x:v>Preventive</x:v>
      </x:c>
      <x:c r="E9" s="28" t="str">
        <x:v>Percival Duckworth - Director Procurement &amp; Vendor Assurance</x:v>
      </x:c>
      <x:c r="F9" s="28" t="str">
        <x:v>Conditionally applicable</x:v>
      </x:c>
      <x:c r="G9" s="28" t="str">
        <x:v>Partially implemented</x:v>
      </x:c>
      <x:c r="H9" s="28" t="str">
        <x:v>Linked synthetic evidence</x:v>
      </x:c>
      <x:c r="I9" s="28" t="str">
        <x:v>P2 High</x:v>
      </x:c>
      <x:c r="J9" s="28" t="str">
        <x:v>Semi-annual</x:v>
      </x:c>
      <x:c r="K9" s="28" t="str">
        <x:v>2026-12-15</x:v>
      </x:c>
      <x:c r="L9" s="28" t="str">
        <x:v>AUD-AIMS-2026-002</x:v>
      </x:c>
      <x:c r="M9" s="28" t="str">
        <x:v>AI-001-R02; AI-002-R02; AI-005-R01; AI-005-R03; AI-006-R01; AI-007-R03</x:v>
      </x:c>
      <x:c r="N9" s="28" t="str"/>
      <x:c r="O9" s="28" t="str">
        <x:v>Bounded synthetic evidence is linked; design and evidence integrity require assurance before any broader claim.</x:v>
      </x:c>
      <x:c r="P9" s="28" t="str">
        <x:v>No</x:v>
      </x:c>
      <x:c r="Q9" s="28" t="str">
        <x:v>Yes</x:v>
      </x:c>
    </x:row>
    <x:row r="10">
      <x:c r="A10" s="28" t="str">
        <x:v>AU-006</x:v>
      </x:c>
      <x:c r="B10" s="28" t="str">
        <x:v>DD-01</x:v>
      </x:c>
      <x:c r="C10" s="28" t="str">
        <x:v>Competent Engineer Approval</x:v>
      </x:c>
      <x:c r="D10" s="28" t="str">
        <x:v>Preventive</x:v>
      </x:c>
      <x:c r="E10" s="28" t="str">
        <x:v>Felix Duckson - VP Product &amp; Engineering</x:v>
      </x:c>
      <x:c r="F10" s="28" t="str">
        <x:v>Applicable</x:v>
      </x:c>
      <x:c r="G10" s="28" t="str">
        <x:v>Implemented</x:v>
      </x:c>
      <x:c r="H10" s="28" t="str">
        <x:v>No linked evidence</x:v>
      </x:c>
      <x:c r="I10" s="28" t="str">
        <x:v>P1 Immediate</x:v>
      </x:c>
      <x:c r="J10" s="28" t="str">
        <x:v>Quarterly and change-triggered</x:v>
      </x:c>
      <x:c r="K10" s="28" t="str">
        <x:v>2026-09-09</x:v>
      </x:c>
      <x:c r="L10" s="28" t="str">
        <x:v>AUD-AIMS-2026-001</x:v>
      </x:c>
      <x:c r="M10" s="28" t="str">
        <x:v>AI-001-R01; AI-001-R03</x:v>
      </x:c>
      <x:c r="N10" s="28" t="str">
        <x:v>IAF-2026-002</x:v>
      </x:c>
      <x:c r="O10" s="28" t="str">
        <x:v>Source status is Implemented but no stable evidence ID is linked; immediate substantiation test required.</x:v>
      </x:c>
      <x:c r="P10" s="28" t="str">
        <x:v>No</x:v>
      </x:c>
      <x:c r="Q10" s="28" t="str">
        <x:v>Yes</x:v>
      </x:c>
    </x:row>
    <x:row r="11">
      <x:c r="A11" s="28" t="str">
        <x:v>AU-007</x:v>
      </x:c>
      <x:c r="B11" s="28" t="str">
        <x:v>DD-02</x:v>
      </x:c>
      <x:c r="C11" s="28" t="str">
        <x:v>Independent Safety Validation Gate</x:v>
      </x:c>
      <x:c r="D11" s="28" t="str">
        <x:v>Preventive</x:v>
      </x:c>
      <x:c r="E11" s="28" t="str">
        <x:v>Quentin Duckwell - Director Product Safety &amp; Quality</x:v>
      </x:c>
      <x:c r="F11" s="28" t="str">
        <x:v>Applicable</x:v>
      </x:c>
      <x:c r="G11" s="28" t="str">
        <x:v>Planned</x:v>
      </x:c>
      <x:c r="H11" s="28" t="str">
        <x:v>No linked evidence</x:v>
      </x:c>
      <x:c r="I11" s="28" t="str">
        <x:v>P3 Medium</x:v>
      </x:c>
      <x:c r="J11" s="28" t="str">
        <x:v>Annual and readiness-triggered</x:v>
      </x:c>
      <x:c r="K11" s="28" t="str">
        <x:v>2027-06-30</x:v>
      </x:c>
      <x:c r="L11" s="28" t="str">
        <x:v>AUD-AIMS-2027-002</x:v>
      </x:c>
      <x:c r="M11" s="28" t="str">
        <x:v>AI-001-R01</x:v>
      </x:c>
      <x:c r="N11" s="28" t="str"/>
      <x:c r="O11" s="28" t="str">
        <x:v>Control is planned or not implemented; perform design/readiness review before implementation or risk credit.</x:v>
      </x:c>
      <x:c r="P11" s="28" t="str">
        <x:v>No</x:v>
      </x:c>
      <x:c r="Q11" s="28" t="str">
        <x:v>Yes</x:v>
      </x:c>
    </x:row>
    <x:row r="12">
      <x:c r="A12" s="28" t="str">
        <x:v>AU-008</x:v>
      </x:c>
      <x:c r="B12" s="28" t="str">
        <x:v>DD-03</x:v>
      </x:c>
      <x:c r="C12" s="28" t="str">
        <x:v>Engineering Benchmark &amp; Regression Suite</x:v>
      </x:c>
      <x:c r="D12" s="28" t="str">
        <x:v>Detective</x:v>
      </x:c>
      <x:c r="E12" s="28" t="str">
        <x:v>Dr. Ada Duckfield - Head of Data &amp; AI</x:v>
      </x:c>
      <x:c r="F12" s="28" t="str">
        <x:v>Applicable</x:v>
      </x:c>
      <x:c r="G12" s="28" t="str">
        <x:v>Planned</x:v>
      </x:c>
      <x:c r="H12" s="28" t="str">
        <x:v>No linked evidence</x:v>
      </x:c>
      <x:c r="I12" s="28" t="str">
        <x:v>P3 Medium</x:v>
      </x:c>
      <x:c r="J12" s="28" t="str">
        <x:v>Annual and readiness-triggered</x:v>
      </x:c>
      <x:c r="K12" s="28" t="str">
        <x:v>2027-06-30</x:v>
      </x:c>
      <x:c r="L12" s="28" t="str">
        <x:v>AUD-AIMS-2027-002</x:v>
      </x:c>
      <x:c r="M12" s="28" t="str">
        <x:v>AI-001-R01; AI-001-R03</x:v>
      </x:c>
      <x:c r="N12" s="28" t="str"/>
      <x:c r="O12" s="28" t="str">
        <x:v>Control is planned or not implemented; perform design/readiness review before implementation or risk credit.</x:v>
      </x:c>
      <x:c r="P12" s="28" t="str">
        <x:v>No</x:v>
      </x:c>
      <x:c r="Q12" s="28" t="str">
        <x:v>Yes</x:v>
      </x:c>
    </x:row>
    <x:row r="13">
      <x:c r="A13" s="28" t="str">
        <x:v>AU-009</x:v>
      </x:c>
      <x:c r="B13" s="28" t="str">
        <x:v>DD-04</x:v>
      </x:c>
      <x:c r="C13" s="28" t="str">
        <x:v>Engineering Data Boundary &amp; DLP</x:v>
      </x:c>
      <x:c r="D13" s="28" t="str">
        <x:v>Preventive</x:v>
      </x:c>
      <x:c r="E13" s="28" t="str">
        <x:v>Cassandra Duckley - Chief Information Security Officer</x:v>
      </x:c>
      <x:c r="F13" s="28" t="str">
        <x:v>Applicable</x:v>
      </x:c>
      <x:c r="G13" s="28" t="str">
        <x:v>Partially implemented</x:v>
      </x:c>
      <x:c r="H13" s="28" t="str">
        <x:v>No linked evidence</x:v>
      </x:c>
      <x:c r="I13" s="28" t="str">
        <x:v>P2 High</x:v>
      </x:c>
      <x:c r="J13" s="28" t="str">
        <x:v>Semi-annual</x:v>
      </x:c>
      <x:c r="K13" s="28" t="str">
        <x:v>2027-03-31</x:v>
      </x:c>
      <x:c r="L13" s="28" t="str">
        <x:v>AUD-AIMS-2027-001</x:v>
      </x:c>
      <x:c r="M13" s="28" t="str">
        <x:v>AI-001-R02</x:v>
      </x:c>
      <x:c r="N13" s="28" t="str"/>
      <x:c r="O13" s="28" t="str">
        <x:v>Implementation is asserted without linked evidence; prioritize design and operating-evidence testing.</x:v>
      </x:c>
      <x:c r="P13" s="28" t="str">
        <x:v>No</x:v>
      </x:c>
      <x:c r="Q13" s="28" t="str">
        <x:v>Yes</x:v>
      </x:c>
    </x:row>
    <x:row r="14">
      <x:c r="A14" s="28" t="str">
        <x:v>AU-010</x:v>
      </x:c>
      <x:c r="B14" s="28" t="str">
        <x:v>DD-05</x:v>
      </x:c>
      <x:c r="C14" s="28" t="str">
        <x:v>Design/Model Version Traceability</x:v>
      </x:c>
      <x:c r="D14" s="28" t="str">
        <x:v>Preventive</x:v>
      </x:c>
      <x:c r="E14" s="28" t="str">
        <x:v>Dr. Ada Duckfield - Head of Data &amp; AI</x:v>
      </x:c>
      <x:c r="F14" s="28" t="str">
        <x:v>Applicable</x:v>
      </x:c>
      <x:c r="G14" s="28" t="str">
        <x:v>Partially implemented</x:v>
      </x:c>
      <x:c r="H14" s="28" t="str">
        <x:v>No linked evidence</x:v>
      </x:c>
      <x:c r="I14" s="28" t="str">
        <x:v>P2 High</x:v>
      </x:c>
      <x:c r="J14" s="28" t="str">
        <x:v>Semi-annual</x:v>
      </x:c>
      <x:c r="K14" s="28" t="str">
        <x:v>2027-03-31</x:v>
      </x:c>
      <x:c r="L14" s="28" t="str">
        <x:v>AUD-AIMS-2027-001</x:v>
      </x:c>
      <x:c r="M14" s="28" t="str">
        <x:v>AI-001-R01; AI-001-R03</x:v>
      </x:c>
      <x:c r="N14" s="28" t="str"/>
      <x:c r="O14" s="28" t="str">
        <x:v>Implementation is asserted without linked evidence; prioritize design and operating-evidence testing.</x:v>
      </x:c>
      <x:c r="P14" s="28" t="str">
        <x:v>No</x:v>
      </x:c>
      <x:c r="Q14" s="28" t="str">
        <x:v>Yes</x:v>
      </x:c>
    </x:row>
    <x:row r="15">
      <x:c r="A15" s="28" t="str">
        <x:v>AU-011</x:v>
      </x:c>
      <x:c r="B15" s="28" t="str">
        <x:v>DT-01</x:v>
      </x:c>
      <x:c r="C15" s="28" t="str">
        <x:v>Job-Relevance Criteria &amp; Proxy Feature Governance</x:v>
      </x:c>
      <x:c r="D15" s="28" t="str">
        <x:v>Preventive</x:v>
      </x:c>
      <x:c r="E15" s="28" t="str">
        <x:v>Beatrice Van Duck - Chief People Officer</x:v>
      </x:c>
      <x:c r="F15" s="28" t="str">
        <x:v>Applicable</x:v>
      </x:c>
      <x:c r="G15" s="28" t="str">
        <x:v>Not implemented</x:v>
      </x:c>
      <x:c r="H15" s="28" t="str">
        <x:v>Linked synthetic evidence</x:v>
      </x:c>
      <x:c r="I15" s="28" t="str">
        <x:v>P2 High</x:v>
      </x:c>
      <x:c r="J15" s="28" t="str">
        <x:v>Semi-annual</x:v>
      </x:c>
      <x:c r="K15" s="28" t="str">
        <x:v>2026-12-15</x:v>
      </x:c>
      <x:c r="L15" s="28" t="str">
        <x:v>AUD-AIMS-2026-002</x:v>
      </x:c>
      <x:c r="M15" s="28" t="str">
        <x:v>AI-005-R01</x:v>
      </x:c>
      <x:c r="N15" s="28" t="str"/>
      <x:c r="O15" s="28" t="str">
        <x:v>Bounded synthetic evidence is linked; design and evidence integrity require assurance before any broader claim.</x:v>
      </x:c>
      <x:c r="P15" s="28" t="str">
        <x:v>No</x:v>
      </x:c>
      <x:c r="Q15" s="28" t="str">
        <x:v>Yes</x:v>
      </x:c>
    </x:row>
    <x:row r="16">
      <x:c r="A16" s="28" t="str">
        <x:v>AU-012</x:v>
      </x:c>
      <x:c r="B16" s="28" t="str">
        <x:v>DT-02</x:v>
      </x:c>
      <x:c r="C16" s="28" t="str">
        <x:v>Pre-Deployment Fairness &amp; Adverse-Impact Testing</x:v>
      </x:c>
      <x:c r="D16" s="28" t="str">
        <x:v>Detective</x:v>
      </x:c>
      <x:c r="E16" s="28" t="str">
        <x:v>Beatrice Van Duck - Chief People Officer</x:v>
      </x:c>
      <x:c r="F16" s="28" t="str">
        <x:v>Applicable</x:v>
      </x:c>
      <x:c r="G16" s="28" t="str">
        <x:v>Partially implemented</x:v>
      </x:c>
      <x:c r="H16" s="28" t="str">
        <x:v>Linked synthetic evidence</x:v>
      </x:c>
      <x:c r="I16" s="28" t="str">
        <x:v>P2 High</x:v>
      </x:c>
      <x:c r="J16" s="28" t="str">
        <x:v>Semi-annual</x:v>
      </x:c>
      <x:c r="K16" s="28" t="str">
        <x:v>2026-12-15</x:v>
      </x:c>
      <x:c r="L16" s="28" t="str">
        <x:v>AUD-AIMS-2026-002</x:v>
      </x:c>
      <x:c r="M16" s="28" t="str">
        <x:v>AI-005-R01</x:v>
      </x:c>
      <x:c r="N16" s="28" t="str"/>
      <x:c r="O16" s="28" t="str">
        <x:v>Bounded synthetic evidence is linked; design and evidence integrity require assurance before any broader claim.</x:v>
      </x:c>
      <x:c r="P16" s="28" t="str">
        <x:v>No</x:v>
      </x:c>
      <x:c r="Q16" s="28" t="str">
        <x:v>Yes</x:v>
      </x:c>
    </x:row>
    <x:row r="17">
      <x:c r="A17" s="28" t="str">
        <x:v>AU-013</x:v>
      </x:c>
      <x:c r="B17" s="28" t="str">
        <x:v>DT-03</x:v>
      </x:c>
      <x:c r="C17" s="28" t="str">
        <x:v>Meaningful Human Review &amp; No Automated Rejection</x:v>
      </x:c>
      <x:c r="D17" s="28" t="str">
        <x:v>Preventive</x:v>
      </x:c>
      <x:c r="E17" s="28" t="str">
        <x:v>Beatrice Van Duck - Chief People Officer</x:v>
      </x:c>
      <x:c r="F17" s="28" t="str">
        <x:v>Applicable</x:v>
      </x:c>
      <x:c r="G17" s="28" t="str">
        <x:v>Not implemented</x:v>
      </x:c>
      <x:c r="H17" s="28" t="str">
        <x:v>No linked evidence</x:v>
      </x:c>
      <x:c r="I17" s="28" t="str">
        <x:v>P3 Medium</x:v>
      </x:c>
      <x:c r="J17" s="28" t="str">
        <x:v>Annual and readiness-triggered</x:v>
      </x:c>
      <x:c r="K17" s="28" t="str">
        <x:v>2027-06-30</x:v>
      </x:c>
      <x:c r="L17" s="28" t="str">
        <x:v>AUD-AIMS-2027-002</x:v>
      </x:c>
      <x:c r="M17" s="28" t="str">
        <x:v>AI-005-R02</x:v>
      </x:c>
      <x:c r="N17" s="28" t="str"/>
      <x:c r="O17" s="28" t="str">
        <x:v>Control is planned or not implemented; perform design/readiness review before implementation or risk credit.</x:v>
      </x:c>
      <x:c r="P17" s="28" t="str">
        <x:v>No</x:v>
      </x:c>
      <x:c r="Q17" s="28" t="str">
        <x:v>Yes</x:v>
      </x:c>
    </x:row>
    <x:row r="18">
      <x:c r="A18" s="28" t="str">
        <x:v>AU-014</x:v>
      </x:c>
      <x:c r="B18" s="28" t="str">
        <x:v>DT-04</x:v>
      </x:c>
      <x:c r="C18" s="28" t="str">
        <x:v>Reviewer Rationale, Training &amp; Override Monitoring</x:v>
      </x:c>
      <x:c r="D18" s="28" t="str">
        <x:v>Preventive</x:v>
      </x:c>
      <x:c r="E18" s="28" t="str">
        <x:v>Beatrice Van Duck - Chief People Officer</x:v>
      </x:c>
      <x:c r="F18" s="28" t="str">
        <x:v>Applicable</x:v>
      </x:c>
      <x:c r="G18" s="28" t="str">
        <x:v>Not implemented</x:v>
      </x:c>
      <x:c r="H18" s="28" t="str">
        <x:v>No linked evidence</x:v>
      </x:c>
      <x:c r="I18" s="28" t="str">
        <x:v>P3 Medium</x:v>
      </x:c>
      <x:c r="J18" s="28" t="str">
        <x:v>Annual and readiness-triggered</x:v>
      </x:c>
      <x:c r="K18" s="28" t="str">
        <x:v>2027-06-30</x:v>
      </x:c>
      <x:c r="L18" s="28" t="str">
        <x:v>AUD-AIMS-2027-002</x:v>
      </x:c>
      <x:c r="M18" s="28" t="str">
        <x:v>AI-005-R02</x:v>
      </x:c>
      <x:c r="N18" s="28" t="str"/>
      <x:c r="O18" s="28" t="str">
        <x:v>Control is planned or not implemented; perform design/readiness review before implementation or risk credit.</x:v>
      </x:c>
      <x:c r="P18" s="28" t="str">
        <x:v>No</x:v>
      </x:c>
      <x:c r="Q18" s="28" t="str">
        <x:v>Yes</x:v>
      </x:c>
    </x:row>
    <x:row r="19">
      <x:c r="A19" s="28" t="str">
        <x:v>AU-015</x:v>
      </x:c>
      <x:c r="B19" s="28" t="str">
        <x:v>DT-05</x:v>
      </x:c>
      <x:c r="C19" s="28" t="str">
        <x:v>Applicant Data Minimization, Field Exclusion &amp; Retention</x:v>
      </x:c>
      <x:c r="D19" s="28" t="str">
        <x:v>Preventive</x:v>
      </x:c>
      <x:c r="E19" s="28" t="str">
        <x:v>Beatrice Van Duck - Chief People Officer</x:v>
      </x:c>
      <x:c r="F19" s="28" t="str">
        <x:v>Applicable</x:v>
      </x:c>
      <x:c r="G19" s="28" t="str">
        <x:v>Not implemented</x:v>
      </x:c>
      <x:c r="H19" s="28" t="str">
        <x:v>No linked evidence</x:v>
      </x:c>
      <x:c r="I19" s="28" t="str">
        <x:v>P3 Medium</x:v>
      </x:c>
      <x:c r="J19" s="28" t="str">
        <x:v>Annual and readiness-triggered</x:v>
      </x:c>
      <x:c r="K19" s="28" t="str">
        <x:v>2027-06-30</x:v>
      </x:c>
      <x:c r="L19" s="28" t="str">
        <x:v>AUD-AIMS-2027-002</x:v>
      </x:c>
      <x:c r="M19" s="28" t="str">
        <x:v>AI-005-R03</x:v>
      </x:c>
      <x:c r="N19" s="28" t="str"/>
      <x:c r="O19" s="28" t="str">
        <x:v>Control is planned or not implemented; perform design/readiness review before implementation or risk credit.</x:v>
      </x:c>
      <x:c r="P19" s="28" t="str">
        <x:v>No</x:v>
      </x:c>
      <x:c r="Q19" s="28" t="str">
        <x:v>Yes</x:v>
      </x:c>
    </x:row>
    <x:row r="20">
      <x:c r="A20" s="28" t="str">
        <x:v>AU-016</x:v>
      </x:c>
      <x:c r="B20" s="28" t="str">
        <x:v>DT-06</x:v>
      </x:c>
      <x:c r="C20" s="28" t="str">
        <x:v>Impact, Privacy &amp; Legal Review Gate</x:v>
      </x:c>
      <x:c r="D20" s="28" t="str">
        <x:v>Preventive</x:v>
      </x:c>
      <x:c r="E20" s="28" t="str">
        <x:v>Eleanor Duckford - AI Governance Lead</x:v>
      </x:c>
      <x:c r="F20" s="28" t="str">
        <x:v>Applicable</x:v>
      </x:c>
      <x:c r="G20" s="28" t="str">
        <x:v>Not implemented</x:v>
      </x:c>
      <x:c r="H20" s="28" t="str">
        <x:v>No linked evidence</x:v>
      </x:c>
      <x:c r="I20" s="28" t="str">
        <x:v>P3 Medium</x:v>
      </x:c>
      <x:c r="J20" s="28" t="str">
        <x:v>Annual and readiness-triggered</x:v>
      </x:c>
      <x:c r="K20" s="28" t="str">
        <x:v>2027-06-30</x:v>
      </x:c>
      <x:c r="L20" s="28" t="str">
        <x:v>AUD-AIMS-2027-002</x:v>
      </x:c>
      <x:c r="M20" s="28" t="str">
        <x:v>AI-005-R03</x:v>
      </x:c>
      <x:c r="N20" s="28" t="str"/>
      <x:c r="O20" s="28" t="str">
        <x:v>Control is planned or not implemented; perform design/readiness review before implementation or risk credit.</x:v>
      </x:c>
      <x:c r="P20" s="28" t="str">
        <x:v>No</x:v>
      </x:c>
      <x:c r="Q20" s="28" t="str">
        <x:v>Yes</x:v>
      </x:c>
    </x:row>
    <x:row r="21">
      <x:c r="A21" s="28" t="str">
        <x:v>AU-017</x:v>
      </x:c>
      <x:c r="B21" s="28" t="str">
        <x:v>DT-07</x:v>
      </x:c>
      <x:c r="C21" s="28" t="str">
        <x:v>Candidate Notice, Challenge &amp; Human Remedy</x:v>
      </x:c>
      <x:c r="D21" s="28" t="str">
        <x:v>Corrective</x:v>
      </x:c>
      <x:c r="E21" s="28" t="str">
        <x:v>Beatrice Van Duck - Chief People Officer</x:v>
      </x:c>
      <x:c r="F21" s="28" t="str">
        <x:v>Applicable</x:v>
      </x:c>
      <x:c r="G21" s="28" t="str">
        <x:v>Not implemented</x:v>
      </x:c>
      <x:c r="H21" s="28" t="str">
        <x:v>No linked evidence</x:v>
      </x:c>
      <x:c r="I21" s="28" t="str">
        <x:v>P3 Medium</x:v>
      </x:c>
      <x:c r="J21" s="28" t="str">
        <x:v>Annual and readiness-triggered</x:v>
      </x:c>
      <x:c r="K21" s="28" t="str">
        <x:v>2027-06-30</x:v>
      </x:c>
      <x:c r="L21" s="28" t="str">
        <x:v>AUD-AIMS-2027-002</x:v>
      </x:c>
      <x:c r="M21" s="28" t="str">
        <x:v>AI-005-R01; AI-005-R02</x:v>
      </x:c>
      <x:c r="N21" s="28" t="str"/>
      <x:c r="O21" s="28" t="str">
        <x:v>Control is planned or not implemented; perform design/readiness review before implementation or risk credit.</x:v>
      </x:c>
      <x:c r="P21" s="28" t="str">
        <x:v>No</x:v>
      </x:c>
      <x:c r="Q21" s="28" t="str">
        <x:v>Yes</x:v>
      </x:c>
    </x:row>
    <x:row r="22">
      <x:c r="A22" s="28" t="str">
        <x:v>AU-018</x:v>
      </x:c>
      <x:c r="B22" s="28" t="str">
        <x:v>FF-01</x:v>
      </x:c>
      <x:c r="C22" s="28" t="str">
        <x:v>Human Planning Approval &amp; Override</x:v>
      </x:c>
      <x:c r="D22" s="28" t="str">
        <x:v>Preventive</x:v>
      </x:c>
      <x:c r="E22" s="28" t="str">
        <x:v>Tobias Duckman - Director Supply Chain</x:v>
      </x:c>
      <x:c r="F22" s="28" t="str">
        <x:v>Applicable</x:v>
      </x:c>
      <x:c r="G22" s="28" t="str">
        <x:v>Implemented</x:v>
      </x:c>
      <x:c r="H22" s="28" t="str">
        <x:v>No linked evidence</x:v>
      </x:c>
      <x:c r="I22" s="28" t="str">
        <x:v>P1 Immediate</x:v>
      </x:c>
      <x:c r="J22" s="28" t="str">
        <x:v>Quarterly and change-triggered</x:v>
      </x:c>
      <x:c r="K22" s="28" t="str">
        <x:v>2026-09-09</x:v>
      </x:c>
      <x:c r="L22" s="28" t="str">
        <x:v>AUD-AIMS-2026-001</x:v>
      </x:c>
      <x:c r="M22" s="28" t="str">
        <x:v>AI-003-R01</x:v>
      </x:c>
      <x:c r="N22" s="28" t="str">
        <x:v>IAF-2026-003</x:v>
      </x:c>
      <x:c r="O22" s="28" t="str">
        <x:v>Source status is Implemented but no stable evidence ID is linked; immediate substantiation test required.</x:v>
      </x:c>
      <x:c r="P22" s="28" t="str">
        <x:v>No</x:v>
      </x:c>
      <x:c r="Q22" s="28" t="str">
        <x:v>Yes</x:v>
      </x:c>
    </x:row>
    <x:row r="23">
      <x:c r="A23" s="28" t="str">
        <x:v>AU-019</x:v>
      </x:c>
      <x:c r="B23" s="28" t="str">
        <x:v>FF-02</x:v>
      </x:c>
      <x:c r="C23" s="28" t="str">
        <x:v>Back-Testing, Stress Testing &amp; Challenger Review</x:v>
      </x:c>
      <x:c r="D23" s="28" t="str">
        <x:v>Detective</x:v>
      </x:c>
      <x:c r="E23" s="28" t="str">
        <x:v>Dr. Ada Duckfield - Head of Data &amp; AI</x:v>
      </x:c>
      <x:c r="F23" s="28" t="str">
        <x:v>Applicable</x:v>
      </x:c>
      <x:c r="G23" s="28" t="str">
        <x:v>Partially implemented</x:v>
      </x:c>
      <x:c r="H23" s="28" t="str">
        <x:v>No linked evidence</x:v>
      </x:c>
      <x:c r="I23" s="28" t="str">
        <x:v>P2 High</x:v>
      </x:c>
      <x:c r="J23" s="28" t="str">
        <x:v>Semi-annual</x:v>
      </x:c>
      <x:c r="K23" s="28" t="str">
        <x:v>2027-03-31</x:v>
      </x:c>
      <x:c r="L23" s="28" t="str">
        <x:v>AUD-AIMS-2027-001</x:v>
      </x:c>
      <x:c r="M23" s="28" t="str">
        <x:v>AI-003-R01; AI-003-R02</x:v>
      </x:c>
      <x:c r="N23" s="28" t="str"/>
      <x:c r="O23" s="28" t="str">
        <x:v>Implementation is asserted without linked evidence; prioritize design and operating-evidence testing.</x:v>
      </x:c>
      <x:c r="P23" s="28" t="str">
        <x:v>No</x:v>
      </x:c>
      <x:c r="Q23" s="28" t="str">
        <x:v>Yes</x:v>
      </x:c>
    </x:row>
    <x:row r="24">
      <x:c r="A24" s="28" t="str">
        <x:v>AU-020</x:v>
      </x:c>
      <x:c r="B24" s="28" t="str">
        <x:v>FF-03</x:v>
      </x:c>
      <x:c r="C24" s="28" t="str">
        <x:v>Automated Drift Alerts &amp; Retraining Trigger</x:v>
      </x:c>
      <x:c r="D24" s="28" t="str">
        <x:v>Detective</x:v>
      </x:c>
      <x:c r="E24" s="28" t="str">
        <x:v>Dr. Ada Duckfield - Head of Data &amp; AI</x:v>
      </x:c>
      <x:c r="F24" s="28" t="str">
        <x:v>Applicable</x:v>
      </x:c>
      <x:c r="G24" s="28" t="str">
        <x:v>Planned</x:v>
      </x:c>
      <x:c r="H24" s="28" t="str">
        <x:v>No linked evidence</x:v>
      </x:c>
      <x:c r="I24" s="28" t="str">
        <x:v>P3 Medium</x:v>
      </x:c>
      <x:c r="J24" s="28" t="str">
        <x:v>Annual and readiness-triggered</x:v>
      </x:c>
      <x:c r="K24" s="28" t="str">
        <x:v>2027-06-30</x:v>
      </x:c>
      <x:c r="L24" s="28" t="str">
        <x:v>AUD-AIMS-2027-002</x:v>
      </x:c>
      <x:c r="M24" s="28" t="str">
        <x:v>AI-003-R02</x:v>
      </x:c>
      <x:c r="N24" s="28" t="str"/>
      <x:c r="O24" s="28" t="str">
        <x:v>Control is planned or not implemented; perform design/readiness review before implementation or risk credit.</x:v>
      </x:c>
      <x:c r="P24" s="28" t="str">
        <x:v>No</x:v>
      </x:c>
      <x:c r="Q24" s="28" t="str">
        <x:v>Yes</x:v>
      </x:c>
    </x:row>
    <x:row r="25">
      <x:c r="A25" s="28" t="str">
        <x:v>AU-021</x:v>
      </x:c>
      <x:c r="B25" s="28" t="str">
        <x:v>FF-04</x:v>
      </x:c>
      <x:c r="C25" s="28" t="str">
        <x:v>Supplier/Planning Data Access &amp; Logging</x:v>
      </x:c>
      <x:c r="D25" s="28" t="str">
        <x:v>Preventive</x:v>
      </x:c>
      <x:c r="E25" s="28" t="str">
        <x:v>Tobias Duckman - Director Supply Chain</x:v>
      </x:c>
      <x:c r="F25" s="28" t="str">
        <x:v>Applicable</x:v>
      </x:c>
      <x:c r="G25" s="28" t="str">
        <x:v>Partially implemented</x:v>
      </x:c>
      <x:c r="H25" s="28" t="str">
        <x:v>No linked evidence</x:v>
      </x:c>
      <x:c r="I25" s="28" t="str">
        <x:v>P2 High</x:v>
      </x:c>
      <x:c r="J25" s="28" t="str">
        <x:v>Semi-annual</x:v>
      </x:c>
      <x:c r="K25" s="28" t="str">
        <x:v>2027-03-31</x:v>
      </x:c>
      <x:c r="L25" s="28" t="str">
        <x:v>AUD-AIMS-2027-001</x:v>
      </x:c>
      <x:c r="M25" s="28" t="str">
        <x:v>AI-003-R03</x:v>
      </x:c>
      <x:c r="N25" s="28" t="str"/>
      <x:c r="O25" s="28" t="str">
        <x:v>Implementation is asserted without linked evidence; prioritize design and operating-evidence testing.</x:v>
      </x:c>
      <x:c r="P25" s="28" t="str">
        <x:v>No</x:v>
      </x:c>
      <x:c r="Q25" s="28" t="str">
        <x:v>Yes</x:v>
      </x:c>
    </x:row>
    <x:row r="26">
      <x:c r="A26" s="28" t="str">
        <x:v>AU-022</x:v>
      </x:c>
      <x:c r="B26" s="28" t="str">
        <x:v>PG-01</x:v>
      </x:c>
      <x:c r="C26" s="28" t="str">
        <x:v>Permission-Aware Retrieval</x:v>
      </x:c>
      <x:c r="D26" s="28" t="str">
        <x:v>Preventive</x:v>
      </x:c>
      <x:c r="E26" s="28" t="str">
        <x:v>Oliver Duckett - Head of IT &amp; Cloud</x:v>
      </x:c>
      <x:c r="F26" s="28" t="str">
        <x:v>Applicable</x:v>
      </x:c>
      <x:c r="G26" s="28" t="str">
        <x:v>Partially implemented</x:v>
      </x:c>
      <x:c r="H26" s="28" t="str">
        <x:v>Linked synthetic evidence</x:v>
      </x:c>
      <x:c r="I26" s="28" t="str">
        <x:v>P2 High</x:v>
      </x:c>
      <x:c r="J26" s="28" t="str">
        <x:v>Semi-annual</x:v>
      </x:c>
      <x:c r="K26" s="28" t="str">
        <x:v>2026-12-15</x:v>
      </x:c>
      <x:c r="L26" s="28" t="str">
        <x:v>AUD-AIMS-2026-002</x:v>
      </x:c>
      <x:c r="M26" s="28" t="str">
        <x:v>AI-006-R01</x:v>
      </x:c>
      <x:c r="N26" s="28" t="str"/>
      <x:c r="O26" s="28" t="str">
        <x:v>Bounded synthetic evidence is linked; design and evidence integrity require assurance before any broader claim.</x:v>
      </x:c>
      <x:c r="P26" s="28" t="str">
        <x:v>No</x:v>
      </x:c>
      <x:c r="Q26" s="28" t="str">
        <x:v>Yes</x:v>
      </x:c>
    </x:row>
    <x:row r="27">
      <x:c r="A27" s="28" t="str">
        <x:v>AU-023</x:v>
      </x:c>
      <x:c r="B27" s="28" t="str">
        <x:v>PG-02</x:v>
      </x:c>
      <x:c r="C27" s="28" t="str">
        <x:v>Automated Permission Regression &amp; DLP Tests</x:v>
      </x:c>
      <x:c r="D27" s="28" t="str">
        <x:v>Detective</x:v>
      </x:c>
      <x:c r="E27" s="28" t="str">
        <x:v>Oliver Duckett - Head of IT &amp; Cloud</x:v>
      </x:c>
      <x:c r="F27" s="28" t="str">
        <x:v>Applicable</x:v>
      </x:c>
      <x:c r="G27" s="28" t="str">
        <x:v>Partially implemented</x:v>
      </x:c>
      <x:c r="H27" s="28" t="str">
        <x:v>Linked synthetic evidence</x:v>
      </x:c>
      <x:c r="I27" s="28" t="str">
        <x:v>P2 High</x:v>
      </x:c>
      <x:c r="J27" s="28" t="str">
        <x:v>Semi-annual</x:v>
      </x:c>
      <x:c r="K27" s="28" t="str">
        <x:v>2026-12-15</x:v>
      </x:c>
      <x:c r="L27" s="28" t="str">
        <x:v>AUD-AIMS-2026-002</x:v>
      </x:c>
      <x:c r="M27" s="28" t="str">
        <x:v>AI-006-R01</x:v>
      </x:c>
      <x:c r="N27" s="28" t="str"/>
      <x:c r="O27" s="28" t="str">
        <x:v>Bounded synthetic evidence is linked; design and evidence integrity require assurance before any broader claim.</x:v>
      </x:c>
      <x:c r="P27" s="28" t="str">
        <x:v>No</x:v>
      </x:c>
      <x:c r="Q27" s="28" t="str">
        <x:v>Yes</x:v>
      </x:c>
    </x:row>
    <x:row r="28">
      <x:c r="A28" s="28" t="str">
        <x:v>AU-024</x:v>
      </x:c>
      <x:c r="B28" s="28" t="str">
        <x:v>PG-03</x:v>
      </x:c>
      <x:c r="C28" s="28" t="str">
        <x:v>Prompt Injection &amp; RAG Poisoning Test Suite</x:v>
      </x:c>
      <x:c r="D28" s="28" t="str">
        <x:v>Detective</x:v>
      </x:c>
      <x:c r="E28" s="28" t="str">
        <x:v>Cassandra Duckley - Chief Information Security Officer</x:v>
      </x:c>
      <x:c r="F28" s="28" t="str">
        <x:v>Applicable</x:v>
      </x:c>
      <x:c r="G28" s="28" t="str">
        <x:v>Planned</x:v>
      </x:c>
      <x:c r="H28" s="28" t="str">
        <x:v>No linked evidence</x:v>
      </x:c>
      <x:c r="I28" s="28" t="str">
        <x:v>P3 Medium</x:v>
      </x:c>
      <x:c r="J28" s="28" t="str">
        <x:v>Annual and readiness-triggered</x:v>
      </x:c>
      <x:c r="K28" s="28" t="str">
        <x:v>2027-06-30</x:v>
      </x:c>
      <x:c r="L28" s="28" t="str">
        <x:v>AUD-AIMS-2027-002</x:v>
      </x:c>
      <x:c r="M28" s="28" t="str">
        <x:v>AI-006-R02</x:v>
      </x:c>
      <x:c r="N28" s="28" t="str"/>
      <x:c r="O28" s="28" t="str">
        <x:v>Control is planned or not implemented; perform design/readiness review before implementation or risk credit.</x:v>
      </x:c>
      <x:c r="P28" s="28" t="str">
        <x:v>No</x:v>
      </x:c>
      <x:c r="Q28" s="28" t="str">
        <x:v>Yes</x:v>
      </x:c>
    </x:row>
    <x:row r="29">
      <x:c r="A29" s="28" t="str">
        <x:v>AU-025</x:v>
      </x:c>
      <x:c r="B29" s="28" t="str">
        <x:v>PG-04</x:v>
      </x:c>
      <x:c r="C29" s="28" t="str">
        <x:v>Tool Sandboxing &amp; Allowlisted Actions</x:v>
      </x:c>
      <x:c r="D29" s="28" t="str">
        <x:v>Preventive</x:v>
      </x:c>
      <x:c r="E29" s="28" t="str">
        <x:v>Oliver Duckett - Head of IT &amp; Cloud</x:v>
      </x:c>
      <x:c r="F29" s="28" t="str">
        <x:v>Applicable</x:v>
      </x:c>
      <x:c r="G29" s="28" t="str">
        <x:v>Partially implemented</x:v>
      </x:c>
      <x:c r="H29" s="28" t="str">
        <x:v>No linked evidence</x:v>
      </x:c>
      <x:c r="I29" s="28" t="str">
        <x:v>P2 High</x:v>
      </x:c>
      <x:c r="J29" s="28" t="str">
        <x:v>Semi-annual</x:v>
      </x:c>
      <x:c r="K29" s="28" t="str">
        <x:v>2027-03-31</x:v>
      </x:c>
      <x:c r="L29" s="28" t="str">
        <x:v>AUD-AIMS-2027-001</x:v>
      </x:c>
      <x:c r="M29" s="28" t="str">
        <x:v>AI-006-R02</x:v>
      </x:c>
      <x:c r="N29" s="28" t="str"/>
      <x:c r="O29" s="28" t="str">
        <x:v>Implementation is asserted without linked evidence; prioritize design and operating-evidence testing.</x:v>
      </x:c>
      <x:c r="P29" s="28" t="str">
        <x:v>No</x:v>
      </x:c>
      <x:c r="Q29" s="28" t="str">
        <x:v>Yes</x:v>
      </x:c>
    </x:row>
    <x:row r="30">
      <x:c r="A30" s="28" t="str">
        <x:v>AU-026</x:v>
      </x:c>
      <x:c r="B30" s="28" t="str">
        <x:v>PG-05</x:v>
      </x:c>
      <x:c r="C30" s="28" t="str">
        <x:v>GenAI Security Logging &amp; Alerting</x:v>
      </x:c>
      <x:c r="D30" s="28" t="str">
        <x:v>Detective</x:v>
      </x:c>
      <x:c r="E30" s="28" t="str">
        <x:v>Cassandra Duckley - Chief Information Security Officer</x:v>
      </x:c>
      <x:c r="F30" s="28" t="str">
        <x:v>Applicable</x:v>
      </x:c>
      <x:c r="G30" s="28" t="str">
        <x:v>Partially implemented</x:v>
      </x:c>
      <x:c r="H30" s="28" t="str">
        <x:v>No linked evidence</x:v>
      </x:c>
      <x:c r="I30" s="28" t="str">
        <x:v>P2 High</x:v>
      </x:c>
      <x:c r="J30" s="28" t="str">
        <x:v>Semi-annual</x:v>
      </x:c>
      <x:c r="K30" s="28" t="str">
        <x:v>2027-03-31</x:v>
      </x:c>
      <x:c r="L30" s="28" t="str">
        <x:v>AUD-AIMS-2027-001</x:v>
      </x:c>
      <x:c r="M30" s="28" t="str">
        <x:v>AI-006-R01; AI-006-R02; AI-006-R03</x:v>
      </x:c>
      <x:c r="N30" s="28" t="str"/>
      <x:c r="O30" s="28" t="str">
        <x:v>Implementation is asserted without linked evidence; prioritize design and operating-evidence testing.</x:v>
      </x:c>
      <x:c r="P30" s="28" t="str">
        <x:v>No</x:v>
      </x:c>
      <x:c r="Q30" s="28" t="str">
        <x:v>Yes</x:v>
      </x:c>
    </x:row>
    <x:row r="31">
      <x:c r="A31" s="28" t="str">
        <x:v>AU-027</x:v>
      </x:c>
      <x:c r="B31" s="28" t="str">
        <x:v>PG-06</x:v>
      </x:c>
      <x:c r="C31" s="28" t="str">
        <x:v>Secure Output Verification &amp; Code Scanning</x:v>
      </x:c>
      <x:c r="D31" s="28" t="str">
        <x:v>Preventive</x:v>
      </x:c>
      <x:c r="E31" s="28" t="str">
        <x:v>Dr. Ada Duckfield - Head of Data &amp; AI</x:v>
      </x:c>
      <x:c r="F31" s="28" t="str">
        <x:v>Applicable</x:v>
      </x:c>
      <x:c r="G31" s="28" t="str">
        <x:v>Partially implemented</x:v>
      </x:c>
      <x:c r="H31" s="28" t="str">
        <x:v>No linked evidence</x:v>
      </x:c>
      <x:c r="I31" s="28" t="str">
        <x:v>P2 High</x:v>
      </x:c>
      <x:c r="J31" s="28" t="str">
        <x:v>Semi-annual</x:v>
      </x:c>
      <x:c r="K31" s="28" t="str">
        <x:v>2027-03-31</x:v>
      </x:c>
      <x:c r="L31" s="28" t="str">
        <x:v>AUD-AIMS-2027-001</x:v>
      </x:c>
      <x:c r="M31" s="28" t="str">
        <x:v>AI-006-R03</x:v>
      </x:c>
      <x:c r="N31" s="28" t="str"/>
      <x:c r="O31" s="28" t="str">
        <x:v>Implementation is asserted without linked evidence; prioritize design and operating-evidence testing.</x:v>
      </x:c>
      <x:c r="P31" s="28" t="str">
        <x:v>No</x:v>
      </x:c>
      <x:c r="Q31" s="28" t="str">
        <x:v>Yes</x:v>
      </x:c>
    </x:row>
    <x:row r="32">
      <x:c r="A32" s="28" t="str">
        <x:v>AU-028</x:v>
      </x:c>
      <x:c r="B32" s="28" t="str">
        <x:v>QB-01</x:v>
      </x:c>
      <x:c r="C32" s="28" t="str">
        <x:v>Curated RAG Source Allowlist</x:v>
      </x:c>
      <x:c r="D32" s="28" t="str">
        <x:v>Preventive</x:v>
      </x:c>
      <x:c r="E32" s="28" t="str">
        <x:v>Clara Duckley - Director Customer Operations</x:v>
      </x:c>
      <x:c r="F32" s="28" t="str">
        <x:v>Applicable</x:v>
      </x:c>
      <x:c r="G32" s="28" t="str">
        <x:v>Partially implemented</x:v>
      </x:c>
      <x:c r="H32" s="28" t="str">
        <x:v>No linked evidence</x:v>
      </x:c>
      <x:c r="I32" s="28" t="str">
        <x:v>P2 High</x:v>
      </x:c>
      <x:c r="J32" s="28" t="str">
        <x:v>Semi-annual</x:v>
      </x:c>
      <x:c r="K32" s="28" t="str">
        <x:v>2027-03-31</x:v>
      </x:c>
      <x:c r="L32" s="28" t="str">
        <x:v>AUD-AIMS-2027-001</x:v>
      </x:c>
      <x:c r="M32" s="28" t="str">
        <x:v>AI-002-R01; AI-002-R03</x:v>
      </x:c>
      <x:c r="N32" s="28" t="str"/>
      <x:c r="O32" s="28" t="str">
        <x:v>Implementation is asserted without linked evidence; prioritize design and operating-evidence testing.</x:v>
      </x:c>
      <x:c r="P32" s="28" t="str">
        <x:v>No</x:v>
      </x:c>
      <x:c r="Q32" s="28" t="str">
        <x:v>Yes</x:v>
      </x:c>
    </x:row>
    <x:row r="33">
      <x:c r="A33" s="28" t="str">
        <x:v>AU-029</x:v>
      </x:c>
      <x:c r="B33" s="28" t="str">
        <x:v>QB-02</x:v>
      </x:c>
      <x:c r="C33" s="28" t="str">
        <x:v>Grounding, Citation &amp; Abstention Rules</x:v>
      </x:c>
      <x:c r="D33" s="28" t="str">
        <x:v>Preventive</x:v>
      </x:c>
      <x:c r="E33" s="28" t="str">
        <x:v>Dr. Ada Duckfield - Head of Data &amp; AI</x:v>
      </x:c>
      <x:c r="F33" s="28" t="str">
        <x:v>Applicable</x:v>
      </x:c>
      <x:c r="G33" s="28" t="str">
        <x:v>Planned</x:v>
      </x:c>
      <x:c r="H33" s="28" t="str">
        <x:v>No linked evidence</x:v>
      </x:c>
      <x:c r="I33" s="28" t="str">
        <x:v>P3 Medium</x:v>
      </x:c>
      <x:c r="J33" s="28" t="str">
        <x:v>Annual and readiness-triggered</x:v>
      </x:c>
      <x:c r="K33" s="28" t="str">
        <x:v>2027-06-30</x:v>
      </x:c>
      <x:c r="L33" s="28" t="str">
        <x:v>AUD-AIMS-2027-002</x:v>
      </x:c>
      <x:c r="M33" s="28" t="str">
        <x:v>AI-002-R01; AI-002-R03</x:v>
      </x:c>
      <x:c r="N33" s="28" t="str"/>
      <x:c r="O33" s="28" t="str">
        <x:v>Control is planned or not implemented; perform design/readiness review before implementation or risk credit.</x:v>
      </x:c>
      <x:c r="P33" s="28" t="str">
        <x:v>No</x:v>
      </x:c>
      <x:c r="Q33" s="28" t="str">
        <x:v>Yes</x:v>
      </x:c>
    </x:row>
    <x:row r="34">
      <x:c r="A34" s="28" t="str">
        <x:v>AU-030</x:v>
      </x:c>
      <x:c r="B34" s="28" t="str">
        <x:v>QB-03</x:v>
      </x:c>
      <x:c r="C34" s="28" t="str">
        <x:v>Human Escalation SLA</x:v>
      </x:c>
      <x:c r="D34" s="28" t="str">
        <x:v>Corrective</x:v>
      </x:c>
      <x:c r="E34" s="28" t="str">
        <x:v>Clara Duckley - Director Customer Operations</x:v>
      </x:c>
      <x:c r="F34" s="28" t="str">
        <x:v>Applicable</x:v>
      </x:c>
      <x:c r="G34" s="28" t="str">
        <x:v>Partially implemented</x:v>
      </x:c>
      <x:c r="H34" s="28" t="str">
        <x:v>No linked evidence</x:v>
      </x:c>
      <x:c r="I34" s="28" t="str">
        <x:v>P2 High</x:v>
      </x:c>
      <x:c r="J34" s="28" t="str">
        <x:v>Semi-annual</x:v>
      </x:c>
      <x:c r="K34" s="28" t="str">
        <x:v>2027-03-31</x:v>
      </x:c>
      <x:c r="L34" s="28" t="str">
        <x:v>AUD-AIMS-2027-001</x:v>
      </x:c>
      <x:c r="M34" s="28" t="str">
        <x:v>AI-002-R01; AI-002-R03</x:v>
      </x:c>
      <x:c r="N34" s="28" t="str"/>
      <x:c r="O34" s="28" t="str">
        <x:v>Implementation is asserted without linked evidence; prioritize design and operating-evidence testing.</x:v>
      </x:c>
      <x:c r="P34" s="28" t="str">
        <x:v>No</x:v>
      </x:c>
      <x:c r="Q34" s="28" t="str">
        <x:v>Yes</x:v>
      </x:c>
    </x:row>
    <x:row r="35">
      <x:c r="A35" s="28" t="str">
        <x:v>AU-031</x:v>
      </x:c>
      <x:c r="B35" s="28" t="str">
        <x:v>QB-04</x:v>
      </x:c>
      <x:c r="C35" s="28" t="str">
        <x:v>Prompt Injection &amp; RAG Adversarial Testing</x:v>
      </x:c>
      <x:c r="D35" s="28" t="str">
        <x:v>Detective</x:v>
      </x:c>
      <x:c r="E35" s="28" t="str">
        <x:v>Cassandra Duckley - Chief Information Security Officer</x:v>
      </x:c>
      <x:c r="F35" s="28" t="str">
        <x:v>Applicable</x:v>
      </x:c>
      <x:c r="G35" s="28" t="str">
        <x:v>Planned</x:v>
      </x:c>
      <x:c r="H35" s="28" t="str">
        <x:v>No linked evidence</x:v>
      </x:c>
      <x:c r="I35" s="28" t="str">
        <x:v>P3 Medium</x:v>
      </x:c>
      <x:c r="J35" s="28" t="str">
        <x:v>Annual and readiness-triggered</x:v>
      </x:c>
      <x:c r="K35" s="28" t="str">
        <x:v>2027-06-30</x:v>
      </x:c>
      <x:c r="L35" s="28" t="str">
        <x:v>AUD-AIMS-2027-002</x:v>
      </x:c>
      <x:c r="M35" s="28" t="str">
        <x:v>AI-002-R02</x:v>
      </x:c>
      <x:c r="N35" s="28" t="str"/>
      <x:c r="O35" s="28" t="str">
        <x:v>Control is planned or not implemented; perform design/readiness review before implementation or risk credit.</x:v>
      </x:c>
      <x:c r="P35" s="28" t="str">
        <x:v>No</x:v>
      </x:c>
      <x:c r="Q35" s="28" t="str">
        <x:v>Yes</x:v>
      </x:c>
    </x:row>
    <x:row r="36">
      <x:c r="A36" s="28" t="str">
        <x:v>AU-032</x:v>
      </x:c>
      <x:c r="B36" s="28" t="str">
        <x:v>QB-05</x:v>
      </x:c>
      <x:c r="C36" s="28" t="str">
        <x:v>Least-Privilege Retrieval &amp; Tool Boundaries</x:v>
      </x:c>
      <x:c r="D36" s="28" t="str">
        <x:v>Preventive</x:v>
      </x:c>
      <x:c r="E36" s="28" t="str">
        <x:v>Cassandra Duckley - Chief Information Security Officer</x:v>
      </x:c>
      <x:c r="F36" s="28" t="str">
        <x:v>Applicable</x:v>
      </x:c>
      <x:c r="G36" s="28" t="str">
        <x:v>Partially implemented</x:v>
      </x:c>
      <x:c r="H36" s="28" t="str">
        <x:v>No linked evidence</x:v>
      </x:c>
      <x:c r="I36" s="28" t="str">
        <x:v>P2 High</x:v>
      </x:c>
      <x:c r="J36" s="28" t="str">
        <x:v>Semi-annual</x:v>
      </x:c>
      <x:c r="K36" s="28" t="str">
        <x:v>2027-03-31</x:v>
      </x:c>
      <x:c r="L36" s="28" t="str">
        <x:v>AUD-AIMS-2027-001</x:v>
      </x:c>
      <x:c r="M36" s="28" t="str">
        <x:v>AI-002-R02</x:v>
      </x:c>
      <x:c r="N36" s="28" t="str"/>
      <x:c r="O36" s="28" t="str">
        <x:v>Implementation is asserted without linked evidence; prioritize design and operating-evidence testing.</x:v>
      </x:c>
      <x:c r="P36" s="28" t="str">
        <x:v>No</x:v>
      </x:c>
      <x:c r="Q36" s="28" t="str">
        <x:v>Yes</x:v>
      </x:c>
    </x:row>
    <x:row r="37">
      <x:c r="A37" s="28" t="str">
        <x:v>AU-033</x:v>
      </x:c>
      <x:c r="B37" s="28" t="str">
        <x:v>QB-06</x:v>
      </x:c>
      <x:c r="C37" s="28" t="str">
        <x:v>GenAI Security &amp; Harm Monitoring</x:v>
      </x:c>
      <x:c r="D37" s="28" t="str">
        <x:v>Detective</x:v>
      </x:c>
      <x:c r="E37" s="28" t="str">
        <x:v>Cassandra Duckley - Chief Information Security Officer</x:v>
      </x:c>
      <x:c r="F37" s="28" t="str">
        <x:v>Applicable</x:v>
      </x:c>
      <x:c r="G37" s="28" t="str">
        <x:v>Planned</x:v>
      </x:c>
      <x:c r="H37" s="28" t="str">
        <x:v>No linked evidence</x:v>
      </x:c>
      <x:c r="I37" s="28" t="str">
        <x:v>P3 Medium</x:v>
      </x:c>
      <x:c r="J37" s="28" t="str">
        <x:v>Annual and readiness-triggered</x:v>
      </x:c>
      <x:c r="K37" s="28" t="str">
        <x:v>2027-06-30</x:v>
      </x:c>
      <x:c r="L37" s="28" t="str">
        <x:v>AUD-AIMS-2027-002</x:v>
      </x:c>
      <x:c r="M37" s="28" t="str">
        <x:v>AI-002-R01; AI-002-R02</x:v>
      </x:c>
      <x:c r="N37" s="28" t="str"/>
      <x:c r="O37" s="28" t="str">
        <x:v>Control is planned or not implemented; perform design/readiness review before implementation or risk credit.</x:v>
      </x:c>
      <x:c r="P37" s="28" t="str">
        <x:v>No</x:v>
      </x:c>
      <x:c r="Q37" s="28" t="str">
        <x:v>Yes</x:v>
      </x:c>
    </x:row>
    <x:row r="38">
      <x:c r="A38" s="28" t="str">
        <x:v>AU-034</x:v>
      </x:c>
      <x:c r="B38" s="28" t="str">
        <x:v>SH-01</x:v>
      </x:c>
      <x:c r="C38" s="28" t="str">
        <x:v>AI Acceptable Use Standard</x:v>
      </x:c>
      <x:c r="D38" s="28" t="str">
        <x:v>Preventive</x:v>
      </x:c>
      <x:c r="E38" s="28" t="str">
        <x:v>Cassandra Duckley - Chief Information Security Officer</x:v>
      </x:c>
      <x:c r="F38" s="28" t="str">
        <x:v>Applicable</x:v>
      </x:c>
      <x:c r="G38" s="28" t="str">
        <x:v>Planned</x:v>
      </x:c>
      <x:c r="H38" s="28" t="str">
        <x:v>No linked evidence</x:v>
      </x:c>
      <x:c r="I38" s="28" t="str">
        <x:v>P3 Medium</x:v>
      </x:c>
      <x:c r="J38" s="28" t="str">
        <x:v>Annual and readiness-triggered</x:v>
      </x:c>
      <x:c r="K38" s="28" t="str">
        <x:v>2027-06-30</x:v>
      </x:c>
      <x:c r="L38" s="28" t="str">
        <x:v>AUD-AIMS-2027-002</x:v>
      </x:c>
      <x:c r="M38" s="28" t="str">
        <x:v>AI-007-R01; AI-007-R02</x:v>
      </x:c>
      <x:c r="N38" s="28" t="str"/>
      <x:c r="O38" s="28" t="str">
        <x:v>Control is planned or not implemented; perform design/readiness review before implementation or risk credit.</x:v>
      </x:c>
      <x:c r="P38" s="28" t="str">
        <x:v>No</x:v>
      </x:c>
      <x:c r="Q38" s="28" t="str">
        <x:v>Yes</x:v>
      </x:c>
    </x:row>
    <x:row r="39">
      <x:c r="A39" s="28" t="str">
        <x:v>AU-035</x:v>
      </x:c>
      <x:c r="B39" s="28" t="str">
        <x:v>SH-02</x:v>
      </x:c>
      <x:c r="C39" s="28" t="str">
        <x:v>Approved AI Tool Catalogue &amp; Vendor Allowlist</x:v>
      </x:c>
      <x:c r="D39" s="28" t="str">
        <x:v>Preventive</x:v>
      </x:c>
      <x:c r="E39" s="28" t="str">
        <x:v>Percival Duckworth - Director Procurement &amp; Vendor Assurance</x:v>
      </x:c>
      <x:c r="F39" s="28" t="str">
        <x:v>Applicable</x:v>
      </x:c>
      <x:c r="G39" s="28" t="str">
        <x:v>Planned</x:v>
      </x:c>
      <x:c r="H39" s="28" t="str">
        <x:v>No linked evidence</x:v>
      </x:c>
      <x:c r="I39" s="28" t="str">
        <x:v>P3 Medium</x:v>
      </x:c>
      <x:c r="J39" s="28" t="str">
        <x:v>Annual and readiness-triggered</x:v>
      </x:c>
      <x:c r="K39" s="28" t="str">
        <x:v>2027-06-30</x:v>
      </x:c>
      <x:c r="L39" s="28" t="str">
        <x:v>AUD-AIMS-2027-002</x:v>
      </x:c>
      <x:c r="M39" s="28" t="str">
        <x:v>AI-007-R01; AI-007-R03</x:v>
      </x:c>
      <x:c r="N39" s="28" t="str"/>
      <x:c r="O39" s="28" t="str">
        <x:v>Control is planned or not implemented; perform design/readiness review before implementation or risk credit.</x:v>
      </x:c>
      <x:c r="P39" s="28" t="str">
        <x:v>No</x:v>
      </x:c>
      <x:c r="Q39" s="28" t="str">
        <x:v>Yes</x:v>
      </x:c>
    </x:row>
    <x:row r="40">
      <x:c r="A40" s="28" t="str">
        <x:v>AU-036</x:v>
      </x:c>
      <x:c r="B40" s="28" t="str">
        <x:v>SH-03</x:v>
      </x:c>
      <x:c r="C40" s="28" t="str">
        <x:v>Shadow AI Discovery, DLP &amp; Blocking</x:v>
      </x:c>
      <x:c r="D40" s="28" t="str">
        <x:v>Detective</x:v>
      </x:c>
      <x:c r="E40" s="28" t="str">
        <x:v>Cassandra Duckley - Chief Information Security Officer</x:v>
      </x:c>
      <x:c r="F40" s="28" t="str">
        <x:v>Applicable</x:v>
      </x:c>
      <x:c r="G40" s="28" t="str">
        <x:v>Planned</x:v>
      </x:c>
      <x:c r="H40" s="28" t="str">
        <x:v>No linked evidence</x:v>
      </x:c>
      <x:c r="I40" s="28" t="str">
        <x:v>P3 Medium</x:v>
      </x:c>
      <x:c r="J40" s="28" t="str">
        <x:v>Annual and readiness-triggered</x:v>
      </x:c>
      <x:c r="K40" s="28" t="str">
        <x:v>2027-06-30</x:v>
      </x:c>
      <x:c r="L40" s="28" t="str">
        <x:v>AUD-AIMS-2027-002</x:v>
      </x:c>
      <x:c r="M40" s="28" t="str">
        <x:v>AI-007-R01</x:v>
      </x:c>
      <x:c r="N40" s="28" t="str"/>
      <x:c r="O40" s="28" t="str">
        <x:v>Control is planned or not implemented; perform design/readiness review before implementation or risk credit.</x:v>
      </x:c>
      <x:c r="P40" s="28" t="str">
        <x:v>No</x:v>
      </x:c>
      <x:c r="Q40" s="28" t="str">
        <x:v>Yes</x:v>
      </x:c>
    </x:row>
    <x:row r="41">
      <x:c r="A41" s="28" t="str">
        <x:v>AU-037</x:v>
      </x:c>
      <x:c r="B41" s="28" t="str">
        <x:v>SH-04</x:v>
      </x:c>
      <x:c r="C41" s="28" t="str">
        <x:v>AI Browser Extension &amp; Embedded-App Control</x:v>
      </x:c>
      <x:c r="D41" s="28" t="str">
        <x:v>Preventive</x:v>
      </x:c>
      <x:c r="E41" s="28" t="str">
        <x:v>Oliver Duckett - Head of IT &amp; Cloud</x:v>
      </x:c>
      <x:c r="F41" s="28" t="str">
        <x:v>Applicable</x:v>
      </x:c>
      <x:c r="G41" s="28" t="str">
        <x:v>Weak / ad hoc</x:v>
      </x:c>
      <x:c r="H41" s="28" t="str">
        <x:v>No linked evidence</x:v>
      </x:c>
      <x:c r="I41" s="28" t="str">
        <x:v>P2 High</x:v>
      </x:c>
      <x:c r="J41" s="28" t="str">
        <x:v>Semi-annual</x:v>
      </x:c>
      <x:c r="K41" s="28" t="str">
        <x:v>2027-03-31</x:v>
      </x:c>
      <x:c r="L41" s="28" t="str">
        <x:v>AUD-AIMS-2027-001</x:v>
      </x:c>
      <x:c r="M41" s="28" t="str">
        <x:v>AI-007-R01; AI-007-R03</x:v>
      </x:c>
      <x:c r="N41" s="28" t="str"/>
      <x:c r="O41" s="28" t="str">
        <x:v>Implementation is asserted without linked evidence; prioritize design and operating-evidence testing.</x:v>
      </x:c>
      <x:c r="P41" s="28" t="str">
        <x:v>No</x:v>
      </x:c>
      <x:c r="Q41" s="28" t="str">
        <x:v>Yes</x:v>
      </x:c>
    </x:row>
    <x:row r="42">
      <x:c r="A42" s="28" t="str">
        <x:v>AU-038</x:v>
      </x:c>
      <x:c r="B42" s="28" t="str">
        <x:v>SH-05</x:v>
      </x:c>
      <x:c r="C42" s="28" t="str">
        <x:v>Employee Attestation, Manager Accountability &amp; Mandatory Registration</x:v>
      </x:c>
      <x:c r="D42" s="28" t="str">
        <x:v>Detective</x:v>
      </x:c>
      <x:c r="E42" s="28" t="str">
        <x:v>Eleanor Duckford - AI Governance Lead</x:v>
      </x:c>
      <x:c r="F42" s="28" t="str">
        <x:v>Applicable</x:v>
      </x:c>
      <x:c r="G42" s="28" t="str">
        <x:v>Planned</x:v>
      </x:c>
      <x:c r="H42" s="28" t="str">
        <x:v>No linked evidence</x:v>
      </x:c>
      <x:c r="I42" s="28" t="str">
        <x:v>P3 Medium</x:v>
      </x:c>
      <x:c r="J42" s="28" t="str">
        <x:v>Annual and readiness-triggered</x:v>
      </x:c>
      <x:c r="K42" s="28" t="str">
        <x:v>2027-06-30</x:v>
      </x:c>
      <x:c r="L42" s="28" t="str">
        <x:v>AUD-AIMS-2027-002</x:v>
      </x:c>
      <x:c r="M42" s="28" t="str">
        <x:v>AI-007-R02</x:v>
      </x:c>
      <x:c r="N42" s="28" t="str"/>
      <x:c r="O42" s="28" t="str">
        <x:v>Control is planned or not implemented; perform design/readiness review before implementation or risk credit.</x:v>
      </x:c>
      <x:c r="P42" s="28" t="str">
        <x:v>No</x:v>
      </x:c>
      <x:c r="Q42" s="28" t="str">
        <x:v>Yes</x:v>
      </x:c>
    </x:row>
    <x:row r="43">
      <x:c r="A43" s="28" t="str">
        <x:v>AU-039</x:v>
      </x:c>
      <x:c r="B43" s="28" t="str">
        <x:v>SH-06</x:v>
      </x:c>
      <x:c r="C43" s="28" t="str">
        <x:v>Exposure Investigation, Decomposition &amp; Remediation</x:v>
      </x:c>
      <x:c r="D43" s="28" t="str">
        <x:v>Corrective</x:v>
      </x:c>
      <x:c r="E43" s="28" t="str">
        <x:v>Eleanor Duckford - AI Governance Lead</x:v>
      </x:c>
      <x:c r="F43" s="28" t="str">
        <x:v>Applicable</x:v>
      </x:c>
      <x:c r="G43" s="28" t="str">
        <x:v>Planned</x:v>
      </x:c>
      <x:c r="H43" s="28" t="str">
        <x:v>No linked evidence</x:v>
      </x:c>
      <x:c r="I43" s="28" t="str">
        <x:v>P3 Medium</x:v>
      </x:c>
      <x:c r="J43" s="28" t="str">
        <x:v>Annual and readiness-triggered</x:v>
      </x:c>
      <x:c r="K43" s="28" t="str">
        <x:v>2027-06-30</x:v>
      </x:c>
      <x:c r="L43" s="28" t="str">
        <x:v>AUD-AIMS-2027-002</x:v>
      </x:c>
      <x:c r="M43" s="28" t="str">
        <x:v>AI-007-R01; AI-007-R02; AI-007-R03</x:v>
      </x:c>
      <x:c r="N43" s="28" t="str"/>
      <x:c r="O43" s="28" t="str">
        <x:v>Control is planned or not implemented; perform design/readiness review before implementation or risk credit.</x:v>
      </x:c>
      <x:c r="P43" s="28" t="str">
        <x:v>No</x:v>
      </x:c>
      <x:c r="Q43" s="28" t="str">
        <x:v>Yes</x:v>
      </x:c>
    </x:row>
    <x:row r="44">
      <x:c r="A44" s="28" t="str">
        <x:v>AU-040</x:v>
      </x:c>
      <x:c r="B44" s="28" t="str">
        <x:v>WI-01</x:v>
      </x:c>
      <x:c r="C44" s="28" t="str">
        <x:v>Qualified Human Final Inspection</x:v>
      </x:c>
      <x:c r="D44" s="28" t="str">
        <x:v>Preventive</x:v>
      </x:c>
      <x:c r="E44" s="28" t="str">
        <x:v>Henrietta Duckwell - Director Manufacturing</x:v>
      </x:c>
      <x:c r="F44" s="28" t="str">
        <x:v>Applicable</x:v>
      </x:c>
      <x:c r="G44" s="28" t="str">
        <x:v>Partially implemented</x:v>
      </x:c>
      <x:c r="H44" s="28" t="str">
        <x:v>Linked synthetic evidence</x:v>
      </x:c>
      <x:c r="I44" s="28" t="str">
        <x:v>P2 High</x:v>
      </x:c>
      <x:c r="J44" s="28" t="str">
        <x:v>Semi-annual</x:v>
      </x:c>
      <x:c r="K44" s="28" t="str">
        <x:v>2026-12-15</x:v>
      </x:c>
      <x:c r="L44" s="28" t="str">
        <x:v>AUD-AIMS-2026-002</x:v>
      </x:c>
      <x:c r="M44" s="28" t="str">
        <x:v>AI-004-R01; AI-004-R02</x:v>
      </x:c>
      <x:c r="N44" s="28" t="str"/>
      <x:c r="O44" s="28" t="str">
        <x:v>Bounded synthetic evidence is linked; design and evidence integrity require assurance before any broader claim.</x:v>
      </x:c>
      <x:c r="P44" s="28" t="str">
        <x:v>No</x:v>
      </x:c>
      <x:c r="Q44" s="28" t="str">
        <x:v>Yes</x:v>
      </x:c>
    </x:row>
    <x:row r="45">
      <x:c r="A45" s="28" t="str">
        <x:v>AU-041</x:v>
      </x:c>
      <x:c r="B45" s="28" t="str">
        <x:v>WI-02</x:v>
      </x:c>
      <x:c r="C45" s="28" t="str">
        <x:v>Minimum Sensitivity &amp; Safety Validation</x:v>
      </x:c>
      <x:c r="D45" s="28" t="str">
        <x:v>Preventive</x:v>
      </x:c>
      <x:c r="E45" s="28" t="str">
        <x:v>Quentin Duckwell - Director Product Safety &amp; Quality</x:v>
      </x:c>
      <x:c r="F45" s="28" t="str">
        <x:v>Applicable</x:v>
      </x:c>
      <x:c r="G45" s="28" t="str">
        <x:v>Partially implemented</x:v>
      </x:c>
      <x:c r="H45" s="28" t="str">
        <x:v>No linked evidence</x:v>
      </x:c>
      <x:c r="I45" s="28" t="str">
        <x:v>P2 High</x:v>
      </x:c>
      <x:c r="J45" s="28" t="str">
        <x:v>Semi-annual</x:v>
      </x:c>
      <x:c r="K45" s="28" t="str">
        <x:v>2027-03-31</x:v>
      </x:c>
      <x:c r="L45" s="28" t="str">
        <x:v>AUD-AIMS-2027-001</x:v>
      </x:c>
      <x:c r="M45" s="28" t="str">
        <x:v>AI-004-R01</x:v>
      </x:c>
      <x:c r="N45" s="28" t="str"/>
      <x:c r="O45" s="28" t="str">
        <x:v>Implementation is asserted without linked evidence; prioritize design and operating-evidence testing.</x:v>
      </x:c>
      <x:c r="P45" s="28" t="str">
        <x:v>No</x:v>
      </x:c>
      <x:c r="Q45" s="28" t="str">
        <x:v>Yes</x:v>
      </x:c>
    </x:row>
    <x:row r="46">
      <x:c r="A46" s="28" t="str">
        <x:v>AU-042</x:v>
      </x:c>
      <x:c r="B46" s="28" t="str">
        <x:v>WI-03</x:v>
      </x:c>
      <x:c r="C46" s="28" t="str">
        <x:v>Independent QA Sampling &amp; Defect-Escape Monitoring</x:v>
      </x:c>
      <x:c r="D46" s="28" t="str">
        <x:v>Detective</x:v>
      </x:c>
      <x:c r="E46" s="28" t="str">
        <x:v>Quentin Duckwell - Director Product Safety &amp; Quality</x:v>
      </x:c>
      <x:c r="F46" s="28" t="str">
        <x:v>Applicable</x:v>
      </x:c>
      <x:c r="G46" s="28" t="str">
        <x:v>Planned</x:v>
      </x:c>
      <x:c r="H46" s="28" t="str">
        <x:v>No linked evidence</x:v>
      </x:c>
      <x:c r="I46" s="28" t="str">
        <x:v>P3 Medium</x:v>
      </x:c>
      <x:c r="J46" s="28" t="str">
        <x:v>Annual and readiness-triggered</x:v>
      </x:c>
      <x:c r="K46" s="28" t="str">
        <x:v>2027-06-30</x:v>
      </x:c>
      <x:c r="L46" s="28" t="str">
        <x:v>AUD-AIMS-2027-002</x:v>
      </x:c>
      <x:c r="M46" s="28" t="str">
        <x:v>AI-004-R01; AI-004-R03</x:v>
      </x:c>
      <x:c r="N46" s="28" t="str"/>
      <x:c r="O46" s="28" t="str">
        <x:v>Control is planned or not implemented; perform design/readiness review before implementation or risk credit.</x:v>
      </x:c>
      <x:c r="P46" s="28" t="str">
        <x:v>No</x:v>
      </x:c>
      <x:c r="Q46" s="28" t="str">
        <x:v>Yes</x:v>
      </x:c>
    </x:row>
    <x:row r="47">
      <x:c r="A47" s="28" t="str">
        <x:v>AU-043</x:v>
      </x:c>
      <x:c r="B47" s="28" t="str">
        <x:v>WI-04</x:v>
      </x:c>
      <x:c r="C47" s="28" t="str">
        <x:v>Fail-Safe Manual Fallback &amp; Stop Rule</x:v>
      </x:c>
      <x:c r="D47" s="28" t="str">
        <x:v>Corrective</x:v>
      </x:c>
      <x:c r="E47" s="28" t="str">
        <x:v>Henrietta Duckwell - Director Manufacturing</x:v>
      </x:c>
      <x:c r="F47" s="28" t="str">
        <x:v>Applicable</x:v>
      </x:c>
      <x:c r="G47" s="28" t="str">
        <x:v>Planned</x:v>
      </x:c>
      <x:c r="H47" s="28" t="str">
        <x:v>No linked evidence</x:v>
      </x:c>
      <x:c r="I47" s="28" t="str">
        <x:v>P3 Medium</x:v>
      </x:c>
      <x:c r="J47" s="28" t="str">
        <x:v>Annual and readiness-triggered</x:v>
      </x:c>
      <x:c r="K47" s="28" t="str">
        <x:v>2027-06-30</x:v>
      </x:c>
      <x:c r="L47" s="28" t="str">
        <x:v>AUD-AIMS-2027-002</x:v>
      </x:c>
      <x:c r="M47" s="28" t="str">
        <x:v>AI-004-R01</x:v>
      </x:c>
      <x:c r="N47" s="28" t="str"/>
      <x:c r="O47" s="28" t="str">
        <x:v>Control is planned or not implemented; perform design/readiness review before implementation or risk credit.</x:v>
      </x:c>
      <x:c r="P47" s="28" t="str">
        <x:v>No</x:v>
      </x:c>
      <x:c r="Q47" s="28" t="str">
        <x:v>Yes</x:v>
      </x:c>
    </x:row>
    <x:row r="48">
      <x:c r="A48" s="28" t="str">
        <x:v>AU-044</x:v>
      </x:c>
      <x:c r="B48" s="28" t="str">
        <x:v>WI-05</x:v>
      </x:c>
      <x:c r="C48" s="28" t="str">
        <x:v>False-Positive Tuning &amp; QA Feedback Loop</x:v>
      </x:c>
      <x:c r="D48" s="28" t="str">
        <x:v>Corrective</x:v>
      </x:c>
      <x:c r="E48" s="28" t="str">
        <x:v>Dr. Ada Duckfield - Head of Data &amp; AI</x:v>
      </x:c>
      <x:c r="F48" s="28" t="str">
        <x:v>Applicable</x:v>
      </x:c>
      <x:c r="G48" s="28" t="str">
        <x:v>Planned</x:v>
      </x:c>
      <x:c r="H48" s="28" t="str">
        <x:v>No linked evidence</x:v>
      </x:c>
      <x:c r="I48" s="28" t="str">
        <x:v>P3 Medium</x:v>
      </x:c>
      <x:c r="J48" s="28" t="str">
        <x:v>Annual and readiness-triggered</x:v>
      </x:c>
      <x:c r="K48" s="28" t="str">
        <x:v>2027-06-30</x:v>
      </x:c>
      <x:c r="L48" s="28" t="str">
        <x:v>AUD-AIMS-2027-002</x:v>
      </x:c>
      <x:c r="M48" s="28" t="str">
        <x:v>AI-004-R02</x:v>
      </x:c>
      <x:c r="N48" s="28" t="str"/>
      <x:c r="O48" s="28" t="str">
        <x:v>Control is planned or not implemented; perform design/readiness review before implementation or risk credit.</x:v>
      </x:c>
      <x:c r="P48" s="28" t="str">
        <x:v>No</x:v>
      </x:c>
      <x:c r="Q48" s="28" t="str">
        <x:v>Yes</x:v>
      </x:c>
    </x:row>
    <x:row r="49">
      <x:c r="A49" s="28" t="str">
        <x:v>AU-045</x:v>
      </x:c>
      <x:c r="B49" s="28" t="str">
        <x:v>WI-06</x:v>
      </x:c>
      <x:c r="C49" s="28" t="str">
        <x:v>Change-Triggered Revalidation &amp; Locked Baseline</x:v>
      </x:c>
      <x:c r="D49" s="28" t="str">
        <x:v>Preventive</x:v>
      </x:c>
      <x:c r="E49" s="28" t="str">
        <x:v>Dr. Ada Duckfield - Head of Data &amp; AI</x:v>
      </x:c>
      <x:c r="F49" s="28" t="str">
        <x:v>Applicable</x:v>
      </x:c>
      <x:c r="G49" s="28" t="str">
        <x:v>Partially implemented</x:v>
      </x:c>
      <x:c r="H49" s="28" t="str">
        <x:v>No linked evidence</x:v>
      </x:c>
      <x:c r="I49" s="28" t="str">
        <x:v>P2 High</x:v>
      </x:c>
      <x:c r="J49" s="28" t="str">
        <x:v>Semi-annual</x:v>
      </x:c>
      <x:c r="K49" s="28" t="str">
        <x:v>2027-03-31</x:v>
      </x:c>
      <x:c r="L49" s="28" t="str">
        <x:v>AUD-AIMS-2027-001</x:v>
      </x:c>
      <x:c r="M49" s="28" t="str">
        <x:v>AI-004-R03</x:v>
      </x:c>
      <x:c r="N49" s="28" t="str"/>
      <x:c r="O49" s="28" t="str">
        <x:v>Implementation is asserted without linked evidence; prioritize design and operating-evidence testing.</x:v>
      </x:c>
      <x:c r="P49" s="28" t="str">
        <x:v>No</x:v>
      </x:c>
      <x:c r="Q49" s="28" t="str">
        <x:v>Yes</x:v>
      </x:c>
    </x:row>
  </x:sheetData>
  <x:conditionalFormatting sqref="I5:I49">
    <x:cfRule type="containsText" dxfId="0" priority="1" operator="containsText" text="P1"/>
    <x:cfRule type="containsText" dxfId="1" priority="2" operator="containsText" text="P2"/>
    <x:cfRule type="containsText" dxfId="2" priority="3" operator="containsText" text="P3"/>
  </x:conditionalFormatting>
  <x:pageMargins left="0.7" right="0.7" top="0.75" bottom="0.75" header="0.3" footer="0.3"/>
  <x:tableParts count="1">
    <x:tablePart xmlns:r="http://schemas.openxmlformats.org/officeDocument/2006/relationships" r:id="R0f320d27a33a471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0" hidden="0" customWidth="1"/>
    <x:col min="2" max="2" width="38" hidden="0" customWidth="1"/>
    <x:col min="3" max="3" width="46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44" hidden="0" customWidth="1"/>
    <x:col min="10" max="10" width="52" hidden="0" customWidth="1"/>
    <x:col min="11" max="11" width="52" hidden="0" customWidth="1"/>
    <x:col min="12" max="12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8" customHeight="1">
      <x:c r="A2" s="2" t="str">
        <x:v>AIMS Annual Audit Programme 2026–2027</x:v>
      </x:c>
    </x:row>
    <x:row r="3" ht="26" customHeight="1">
      <x:c r="A3" s="4" t="str">
        <x:v>Four engagements allocate all 45 controls; future status is planning, not execution</x:v>
      </x:c>
    </x:row>
    <x:row r="4">
      <x:c r="A4" s="10" t="str">
        <x:v>Engagement_ID</x:v>
      </x:c>
      <x:c r="B4" s="10" t="str">
        <x:v>Engagement</x:v>
      </x:c>
      <x:c r="C4" s="10" t="str">
        <x:v>Scope</x:v>
      </x:c>
      <x:c r="D4" s="10" t="str">
        <x:v>Population_Count</x:v>
      </x:c>
      <x:c r="E4" s="10" t="str">
        <x:v>Planned_Start</x:v>
      </x:c>
      <x:c r="F4" s="10" t="str">
        <x:v>Planned_End</x:v>
      </x:c>
      <x:c r="G4" s="10" t="str">
        <x:v>Frequency</x:v>
      </x:c>
      <x:c r="H4" s="10" t="str">
        <x:v>Status</x:v>
      </x:c>
      <x:c r="I4" s="10" t="str">
        <x:v>Lead_Role</x:v>
      </x:c>
      <x:c r="J4" s="10" t="str">
        <x:v>Independence_Safeguard</x:v>
      </x:c>
      <x:c r="K4" s="10" t="str">
        <x:v>Deliverables</x:v>
      </x:c>
      <x:c r="L4" s="10" t="str">
        <x:v>Decision_Boundary</x:v>
      </x:c>
    </x:row>
    <x:row r="5">
      <x:c r="A5" s="28" t="str">
        <x:v>AUD-AIMS-2026-001</x:v>
      </x:c>
      <x:c r="B5" s="28" t="str">
        <x:v>Implemented-claim substantiation</x:v>
      </x:c>
      <x:c r="C5" s="28" t="str">
        <x:v>DD-01; FF-01</x:v>
      </x:c>
      <x:c r="D5" s="28" t="str">
        <x:v>2</x:v>
      </x:c>
      <x:c r="E5" s="28" t="str">
        <x:v>2026-09-09</x:v>
      </x:c>
      <x:c r="F5" s="28" t="str">
        <x:v>2026-09-09</x:v>
      </x:c>
      <x:c r="G5" s="28" t="str">
        <x:v>Immediate; quarterly follow-up</x:v>
      </x:c>
      <x:c r="H5" s="28" t="str">
        <x:v>Completed — findings open</x:v>
      </x:c>
      <x:c r="I5" s="28" t="str">
        <x:v>Internal Audit Lead or independent competent designee</x:v>
      </x:c>
      <x:c r="J5" s="28" t="str">
        <x:v>No control owner may audit or close own finding</x:v>
      </x:c>
      <x:c r="K5" s="28" t="str">
        <x:v>Plan; evidence requests; test programmes; findings register</x:v>
      </x:c>
      <x:c r="L5" s="28" t="str">
        <x:v>Synthetic repository evidence review only</x:v>
      </x:c>
    </x:row>
    <x:row r="6">
      <x:c r="A6" s="28" t="str">
        <x:v>AUD-AIMS-2026-002</x:v>
      </x:c>
      <x:c r="B6" s="28" t="str">
        <x:v>Linked-evidence integrity review</x:v>
      </x:c>
      <x:c r="C6" s="28" t="str">
        <x:v>Nine controls with linked synthetic evidence</x:v>
      </x:c>
      <x:c r="D6" s="28" t="str">
        <x:v>9</x:v>
      </x:c>
      <x:c r="E6" s="28" t="str">
        <x:v>2026-11-16</x:v>
      </x:c>
      <x:c r="F6" s="28" t="str">
        <x:v>2026-12-15</x:v>
      </x:c>
      <x:c r="G6" s="28" t="str">
        <x:v>Semi-annual</x:v>
      </x:c>
      <x:c r="H6" s="28" t="str">
        <x:v>Planned</x:v>
      </x:c>
      <x:c r="I6" s="28" t="str">
        <x:v>Internal Audit Lead or independent competent designee</x:v>
      </x:c>
      <x:c r="J6" s="28" t="str">
        <x:v>Reviewer independent of evidence preparation and control ownership</x:v>
      </x:c>
      <x:c r="K6" s="28" t="str">
        <x:v>Sampling plan; workpapers; findings; follow-up actions</x:v>
      </x:c>
      <x:c r="L6" s="28" t="str">
        <x:v>No production-effectiveness conclusion without production evidence</x:v>
      </x:c>
    </x:row>
    <x:row r="7">
      <x:c r="A7" s="28" t="str">
        <x:v>AUD-AIMS-2027-001</x:v>
      </x:c>
      <x:c r="B7" s="28" t="str">
        <x:v>Unsupported partial/ad hoc implementation review</x:v>
      </x:c>
      <x:c r="C7" s="28" t="str">
        <x:v>Fourteen P2 controls without linked evidence</x:v>
      </x:c>
      <x:c r="D7" s="28" t="str">
        <x:v>14</x:v>
      </x:c>
      <x:c r="E7" s="28" t="str">
        <x:v>2027-02-01</x:v>
      </x:c>
      <x:c r="F7" s="28" t="str">
        <x:v>2027-03-31</x:v>
      </x:c>
      <x:c r="G7" s="28" t="str">
        <x:v>Semi-annual</x:v>
      </x:c>
      <x:c r="H7" s="28" t="str">
        <x:v>Planned</x:v>
      </x:c>
      <x:c r="I7" s="28" t="str">
        <x:v>Internal Audit Lead or independent competent designee</x:v>
      </x:c>
      <x:c r="J7" s="28" t="str">
        <x:v>No self-review; conflicts disclosed and resolved</x:v>
      </x:c>
      <x:c r="K7" s="28" t="str">
        <x:v>Design tests; evidence gap findings; action plans</x:v>
      </x:c>
      <x:c r="L7" s="28" t="str">
        <x:v>Source status is not treated as evidence</x:v>
      </x:c>
    </x:row>
    <x:row r="8">
      <x:c r="A8" s="28" t="str">
        <x:v>AUD-AIMS-2027-002</x:v>
      </x:c>
      <x:c r="B8" s="28" t="str">
        <x:v>Planned/not-implemented control readiness review</x:v>
      </x:c>
      <x:c r="C8" s="28" t="str">
        <x:v>Twenty P3 controls</x:v>
      </x:c>
      <x:c r="D8" s="28" t="str">
        <x:v>20</x:v>
      </x:c>
      <x:c r="E8" s="28" t="str">
        <x:v>2027-05-03</x:v>
      </x:c>
      <x:c r="F8" s="28" t="str">
        <x:v>2027-06-30</x:v>
      </x:c>
      <x:c r="G8" s="28" t="str">
        <x:v>Annual and readiness-triggered</x:v>
      </x:c>
      <x:c r="H8" s="28" t="str">
        <x:v>Planned</x:v>
      </x:c>
      <x:c r="I8" s="28" t="str">
        <x:v>Internal Audit Lead or independent competent designee</x:v>
      </x:c>
      <x:c r="J8" s="28" t="str">
        <x:v>Advice must not become control ownership</x:v>
      </x:c>
      <x:c r="K8" s="28" t="str">
        <x:v>Readiness assessment; implementation prerequisites; findings</x:v>
      </x:c>
      <x:c r="L8" s="28" t="str">
        <x:v>No implementation or risk-reduction credit</x:v>
      </x:c>
    </x:row>
  </x:sheetData>
  <x:conditionalFormatting sqref="H5:H8">
    <x:cfRule type="containsText" dxfId="3" priority="1" operator="containsText" text="Completed"/>
  </x:conditionalFormatting>
  <x:pageMargins left="0.7" right="0.7" top="0.75" bottom="0.75" header="0.3" footer="0.3"/>
  <x:tableParts count="1">
    <x:tablePart xmlns:r="http://schemas.openxmlformats.org/officeDocument/2006/relationships" r:id="Rf629563a92534a0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40" hidden="0" customWidth="1"/>
    <x:col min="5" max="5" width="52" hidden="0" customWidth="1"/>
    <x:col min="6" max="6" width="52" hidden="0" customWidth="1"/>
    <x:col min="7" max="7" width="52" hidden="0" customWidth="1"/>
    <x:col min="8" max="8" width="46" hidden="0" customWidth="1"/>
    <x:col min="9" max="9" width="25" hidden="0" customWidth="1"/>
    <x:col min="10" max="10" width="36" hidden="0" customWidth="1"/>
    <x:col min="11" max="11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8" customHeight="1">
      <x:c r="A2" s="2" t="str">
        <x:v>First-Wave Test Results — AUD-AIMS-2026-001</x:v>
      </x:c>
    </x:row>
    <x:row r="3" ht="26" customHeight="1">
      <x:c r="A3" s="4" t="str">
        <x:v>Fourteen executed steps | DD-01 and FF-01 | source Implemented labels not demonstrated</x:v>
      </x:c>
    </x:row>
    <x:row r="4">
      <x:c r="A4" s="10" t="str">
        <x:v>Test_ID</x:v>
      </x:c>
      <x:c r="B4" s="10" t="str">
        <x:v>Engagement_ID</x:v>
      </x:c>
      <x:c r="C4" s="10" t="str">
        <x:v>Control_ID</x:v>
      </x:c>
      <x:c r="D4" s="10" t="str">
        <x:v>Test_Procedure</x:v>
      </x:c>
      <x:c r="E4" s="10" t="str">
        <x:v>Criterion</x:v>
      </x:c>
      <x:c r="F4" s="10" t="str">
        <x:v>Expected_Evidence</x:v>
      </x:c>
      <x:c r="G4" s="10" t="str">
        <x:v>Result</x:v>
      </x:c>
      <x:c r="H4" s="10" t="str">
        <x:v>Exception</x:v>
      </x:c>
      <x:c r="I4" s="10" t="str">
        <x:v>Conclusion</x:v>
      </x:c>
      <x:c r="J4" s="10" t="str">
        <x:v>Reviewer</x:v>
      </x:c>
      <x:c r="K4" s="10" t="str">
        <x:v>Review_Date</x:v>
      </x:c>
    </x:row>
    <x:row r="5">
      <x:c r="A5" s="28" t="str">
        <x:v>DD-01-T01</x:v>
      </x:c>
      <x:c r="B5" s="28" t="str">
        <x:v>AUD-AIMS-2026-001</x:v>
      </x:c>
      <x:c r="C5" s="28" t="str">
        <x:v>DD-01</x:v>
      </x:c>
      <x:c r="D5" s="28" t="str">
        <x:v>Confirm approved control design</x:v>
      </x:c>
      <x:c r="E5" s="28" t="str">
        <x:v>Control definition, objective, scope and approval are documented</x:v>
      </x:c>
      <x:c r="F5" s="28" t="str">
        <x:v>Design reference exists in control framework</x:v>
      </x:c>
      <x:c r="G5" s="28" t="str">
        <x:v>Pass — design assertion exists</x:v>
      </x:c>
      <x:c r="H5" s="28" t="str"/>
      <x:c r="I5" s="28" t="str">
        <x:v>Design element observed</x:v>
      </x:c>
      <x:c r="J5" s="28" t="str">
        <x:v>Exercise analyst — independence and competence not verified</x:v>
      </x:c>
      <x:c r="K5" s="28" t="str">
        <x:v>2026-09-09</x:v>
      </x:c>
    </x:row>
    <x:row r="6">
      <x:c r="A6" s="28" t="str">
        <x:v>DD-01-T02</x:v>
      </x:c>
      <x:c r="B6" s="28" t="str">
        <x:v>AUD-AIMS-2026-001</x:v>
      </x:c>
      <x:c r="C6" s="28" t="str">
        <x:v>DD-01</x:v>
      </x:c>
      <x:c r="D6" s="28" t="str">
        <x:v>Confirm accountable owner</x:v>
      </x:c>
      <x:c r="E6" s="28" t="str">
        <x:v>Named owner has authority and responsibility</x:v>
      </x:c>
      <x:c r="F6" s="28" t="str">
        <x:v>Owner is named in applicability register</x:v>
      </x:c>
      <x:c r="G6" s="28" t="str">
        <x:v>Pass — owner assigned</x:v>
      </x:c>
      <x:c r="H6" s="28" t="str"/>
      <x:c r="I6" s="28" t="str">
        <x:v>Design element observed</x:v>
      </x:c>
      <x:c r="J6" s="28" t="str">
        <x:v>Exercise analyst — independence and competence not verified</x:v>
      </x:c>
      <x:c r="K6" s="28" t="str">
        <x:v>2026-09-09</x:v>
      </x:c>
    </x:row>
    <x:row r="7">
      <x:c r="A7" s="28" t="str">
        <x:v>DD-01-T03</x:v>
      </x:c>
      <x:c r="B7" s="28" t="str">
        <x:v>AUD-AIMS-2026-001</x:v>
      </x:c>
      <x:c r="C7" s="28" t="str">
        <x:v>DD-01</x:v>
      </x:c>
      <x:c r="D7" s="28" t="str">
        <x:v>Confirm linked implementation evidence</x:v>
      </x:c>
      <x:c r="E7" s="28" t="str">
        <x:v>Stable evidence IDs support implemented status</x:v>
      </x:c>
      <x:c r="F7" s="28" t="str">
        <x:v>At least one retrievable implementation evidence ID</x:v>
      </x:c>
      <x:c r="G7" s="28" t="str">
        <x:v>Fail — no evidence ID linked</x:v>
      </x:c>
      <x:c r="H7" s="28" t="str">
        <x:v>No linked evidence or repository evidence beyond design/status assertion</x:v>
      </x:c>
      <x:c r="I7" s="28" t="str">
        <x:v>Not demonstrated</x:v>
      </x:c>
      <x:c r="J7" s="28" t="str">
        <x:v>Exercise analyst — independence and competence not verified</x:v>
      </x:c>
      <x:c r="K7" s="28" t="str">
        <x:v>2026-09-09</x:v>
      </x:c>
    </x:row>
    <x:row r="8">
      <x:c r="A8" s="28" t="str">
        <x:v>DD-01-T04</x:v>
      </x:c>
      <x:c r="B8" s="28" t="str">
        <x:v>AUD-AIMS-2026-001</x:v>
      </x:c>
      <x:c r="C8" s="28" t="str">
        <x:v>DD-01</x:v>
      </x:c>
      <x:c r="D8" s="28" t="str">
        <x:v>Confirm complete operating population and period</x:v>
      </x:c>
      <x:c r="E8" s="28" t="str">
        <x:v>Population and review period are defined and complete</x:v>
      </x:c>
      <x:c r="F8" s="28" t="str">
        <x:v>Population/period evidence supplied</x:v>
      </x:c>
      <x:c r="G8" s="28" t="str">
        <x:v>Fail — not provided</x:v>
      </x:c>
      <x:c r="H8" s="28" t="str">
        <x:v>No linked evidence or repository evidence beyond design/status assertion</x:v>
      </x:c>
      <x:c r="I8" s="28" t="str">
        <x:v>Not demonstrated</x:v>
      </x:c>
      <x:c r="J8" s="28" t="str">
        <x:v>Exercise analyst — independence and competence not verified</x:v>
      </x:c>
      <x:c r="K8" s="28" t="str">
        <x:v>2026-09-09</x:v>
      </x:c>
    </x:row>
    <x:row r="9">
      <x:c r="A9" s="28" t="str">
        <x:v>DD-01-T05</x:v>
      </x:c>
      <x:c r="B9" s="28" t="str">
        <x:v>AUD-AIMS-2026-001</x:v>
      </x:c>
      <x:c r="C9" s="28" t="str">
        <x:v>DD-01</x:v>
      </x:c>
      <x:c r="D9" s="28" t="str">
        <x:v>Inspect execution sample</x:v>
      </x:c>
      <x:c r="E9" s="28" t="str">
        <x:v>Version-bound execution records demonstrate operation</x:v>
      </x:c>
      <x:c r="F9" s="28" t="str">
        <x:v>Sufficient sample supports consistent operation</x:v>
      </x:c>
      <x:c r="G9" s="28" t="str">
        <x:v>Fail — no population or sample</x:v>
      </x:c>
      <x:c r="H9" s="28" t="str">
        <x:v>No linked evidence or repository evidence beyond design/status assertion</x:v>
      </x:c>
      <x:c r="I9" s="28" t="str">
        <x:v>Not demonstrated</x:v>
      </x:c>
      <x:c r="J9" s="28" t="str">
        <x:v>Exercise analyst — independence and competence not verified</x:v>
      </x:c>
      <x:c r="K9" s="28" t="str">
        <x:v>2026-09-09</x:v>
      </x:c>
    </x:row>
    <x:row r="10">
      <x:c r="A10" s="28" t="str">
        <x:v>DD-01-T06</x:v>
      </x:c>
      <x:c r="B10" s="28" t="str">
        <x:v>AUD-AIMS-2026-001</x:v>
      </x:c>
      <x:c r="C10" s="28" t="str">
        <x:v>DD-01</x:v>
      </x:c>
      <x:c r="D10" s="28" t="str">
        <x:v>Inspect exceptions and overrides</x:v>
      </x:c>
      <x:c r="E10" s="28" t="str">
        <x:v>Exceptions, overrides and escalations are complete and reviewed</x:v>
      </x:c>
      <x:c r="F10" s="28" t="str">
        <x:v>Exception evidence or credible zero-event attestation supplied</x:v>
      </x:c>
      <x:c r="G10" s="28" t="str">
        <x:v>Fail — not provided</x:v>
      </x:c>
      <x:c r="H10" s="28" t="str">
        <x:v>No linked evidence or repository evidence beyond design/status assertion</x:v>
      </x:c>
      <x:c r="I10" s="28" t="str">
        <x:v>Not demonstrated</x:v>
      </x:c>
      <x:c r="J10" s="28" t="str">
        <x:v>Exercise analyst — independence and competence not verified</x:v>
      </x:c>
      <x:c r="K10" s="28" t="str">
        <x:v>2026-09-09</x:v>
      </x:c>
    </x:row>
    <x:row r="11">
      <x:c r="A11" s="28" t="str">
        <x:v>DD-01-T07</x:v>
      </x:c>
      <x:c r="B11" s="28" t="str">
        <x:v>AUD-AIMS-2026-001</x:v>
      </x:c>
      <x:c r="C11" s="28" t="str">
        <x:v>DD-01</x:v>
      </x:c>
      <x:c r="D11" s="28" t="str">
        <x:v>Inspect monitoring and owner review</x:v>
      </x:c>
      <x:c r="E11" s="28" t="str">
        <x:v>Metrics, outcomes and owner review support status</x:v>
      </x:c>
      <x:c r="F11" s="28" t="str">
        <x:v>Dated metrics and owner conclusion supplied</x:v>
      </x:c>
      <x:c r="G11" s="28" t="str">
        <x:v>Fail — not provided</x:v>
      </x:c>
      <x:c r="H11" s="28" t="str">
        <x:v>No linked evidence or repository evidence beyond design/status assertion</x:v>
      </x:c>
      <x:c r="I11" s="28" t="str">
        <x:v>Not demonstrated</x:v>
      </x:c>
      <x:c r="J11" s="28" t="str">
        <x:v>Exercise analyst — independence and competence not verified</x:v>
      </x:c>
      <x:c r="K11" s="28" t="str">
        <x:v>2026-09-09</x:v>
      </x:c>
    </x:row>
    <x:row r="12">
      <x:c r="A12" s="28" t="str">
        <x:v>FF-01-T01</x:v>
      </x:c>
      <x:c r="B12" s="28" t="str">
        <x:v>AUD-AIMS-2026-001</x:v>
      </x:c>
      <x:c r="C12" s="28" t="str">
        <x:v>FF-01</x:v>
      </x:c>
      <x:c r="D12" s="28" t="str">
        <x:v>Confirm approved control design</x:v>
      </x:c>
      <x:c r="E12" s="28" t="str">
        <x:v>Control definition, objective, scope and approval are documented</x:v>
      </x:c>
      <x:c r="F12" s="28" t="str">
        <x:v>Design reference exists in control framework</x:v>
      </x:c>
      <x:c r="G12" s="28" t="str">
        <x:v>Pass — design assertion exists</x:v>
      </x:c>
      <x:c r="H12" s="28" t="str"/>
      <x:c r="I12" s="28" t="str">
        <x:v>Design element observed</x:v>
      </x:c>
      <x:c r="J12" s="28" t="str">
        <x:v>Exercise analyst — independence and competence not verified</x:v>
      </x:c>
      <x:c r="K12" s="28" t="str">
        <x:v>2026-09-09</x:v>
      </x:c>
    </x:row>
    <x:row r="13">
      <x:c r="A13" s="28" t="str">
        <x:v>FF-01-T02</x:v>
      </x:c>
      <x:c r="B13" s="28" t="str">
        <x:v>AUD-AIMS-2026-001</x:v>
      </x:c>
      <x:c r="C13" s="28" t="str">
        <x:v>FF-01</x:v>
      </x:c>
      <x:c r="D13" s="28" t="str">
        <x:v>Confirm accountable owner</x:v>
      </x:c>
      <x:c r="E13" s="28" t="str">
        <x:v>Named owner has authority and responsibility</x:v>
      </x:c>
      <x:c r="F13" s="28" t="str">
        <x:v>Owner is named in applicability register</x:v>
      </x:c>
      <x:c r="G13" s="28" t="str">
        <x:v>Pass — owner assigned</x:v>
      </x:c>
      <x:c r="H13" s="28" t="str"/>
      <x:c r="I13" s="28" t="str">
        <x:v>Design element observed</x:v>
      </x:c>
      <x:c r="J13" s="28" t="str">
        <x:v>Exercise analyst — independence and competence not verified</x:v>
      </x:c>
      <x:c r="K13" s="28" t="str">
        <x:v>2026-09-09</x:v>
      </x:c>
    </x:row>
    <x:row r="14">
      <x:c r="A14" s="28" t="str">
        <x:v>FF-01-T03</x:v>
      </x:c>
      <x:c r="B14" s="28" t="str">
        <x:v>AUD-AIMS-2026-001</x:v>
      </x:c>
      <x:c r="C14" s="28" t="str">
        <x:v>FF-01</x:v>
      </x:c>
      <x:c r="D14" s="28" t="str">
        <x:v>Confirm linked implementation evidence</x:v>
      </x:c>
      <x:c r="E14" s="28" t="str">
        <x:v>Stable evidence IDs support implemented status</x:v>
      </x:c>
      <x:c r="F14" s="28" t="str">
        <x:v>At least one retrievable implementation evidence ID</x:v>
      </x:c>
      <x:c r="G14" s="28" t="str">
        <x:v>Fail — no evidence ID linked</x:v>
      </x:c>
      <x:c r="H14" s="28" t="str">
        <x:v>No linked evidence or repository evidence beyond design/status assertion</x:v>
      </x:c>
      <x:c r="I14" s="28" t="str">
        <x:v>Not demonstrated</x:v>
      </x:c>
      <x:c r="J14" s="28" t="str">
        <x:v>Exercise analyst — independence and competence not verified</x:v>
      </x:c>
      <x:c r="K14" s="28" t="str">
        <x:v>2026-09-09</x:v>
      </x:c>
    </x:row>
    <x:row r="15">
      <x:c r="A15" s="28" t="str">
        <x:v>FF-01-T04</x:v>
      </x:c>
      <x:c r="B15" s="28" t="str">
        <x:v>AUD-AIMS-2026-001</x:v>
      </x:c>
      <x:c r="C15" s="28" t="str">
        <x:v>FF-01</x:v>
      </x:c>
      <x:c r="D15" s="28" t="str">
        <x:v>Confirm complete operating population and period</x:v>
      </x:c>
      <x:c r="E15" s="28" t="str">
        <x:v>Population and review period are defined and complete</x:v>
      </x:c>
      <x:c r="F15" s="28" t="str">
        <x:v>Population/period evidence supplied</x:v>
      </x:c>
      <x:c r="G15" s="28" t="str">
        <x:v>Fail — not provided</x:v>
      </x:c>
      <x:c r="H15" s="28" t="str">
        <x:v>No linked evidence or repository evidence beyond design/status assertion</x:v>
      </x:c>
      <x:c r="I15" s="28" t="str">
        <x:v>Not demonstrated</x:v>
      </x:c>
      <x:c r="J15" s="28" t="str">
        <x:v>Exercise analyst — independence and competence not verified</x:v>
      </x:c>
      <x:c r="K15" s="28" t="str">
        <x:v>2026-09-09</x:v>
      </x:c>
    </x:row>
    <x:row r="16">
      <x:c r="A16" s="28" t="str">
        <x:v>FF-01-T05</x:v>
      </x:c>
      <x:c r="B16" s="28" t="str">
        <x:v>AUD-AIMS-2026-001</x:v>
      </x:c>
      <x:c r="C16" s="28" t="str">
        <x:v>FF-01</x:v>
      </x:c>
      <x:c r="D16" s="28" t="str">
        <x:v>Inspect execution sample</x:v>
      </x:c>
      <x:c r="E16" s="28" t="str">
        <x:v>Version-bound execution records demonstrate operation</x:v>
      </x:c>
      <x:c r="F16" s="28" t="str">
        <x:v>Sufficient sample supports consistent operation</x:v>
      </x:c>
      <x:c r="G16" s="28" t="str">
        <x:v>Fail — no population or sample</x:v>
      </x:c>
      <x:c r="H16" s="28" t="str">
        <x:v>No linked evidence or repository evidence beyond design/status assertion</x:v>
      </x:c>
      <x:c r="I16" s="28" t="str">
        <x:v>Not demonstrated</x:v>
      </x:c>
      <x:c r="J16" s="28" t="str">
        <x:v>Exercise analyst — independence and competence not verified</x:v>
      </x:c>
      <x:c r="K16" s="28" t="str">
        <x:v>2026-09-09</x:v>
      </x:c>
    </x:row>
    <x:row r="17">
      <x:c r="A17" s="28" t="str">
        <x:v>FF-01-T06</x:v>
      </x:c>
      <x:c r="B17" s="28" t="str">
        <x:v>AUD-AIMS-2026-001</x:v>
      </x:c>
      <x:c r="C17" s="28" t="str">
        <x:v>FF-01</x:v>
      </x:c>
      <x:c r="D17" s="28" t="str">
        <x:v>Inspect exceptions and overrides</x:v>
      </x:c>
      <x:c r="E17" s="28" t="str">
        <x:v>Exceptions, overrides and escalations are complete and reviewed</x:v>
      </x:c>
      <x:c r="F17" s="28" t="str">
        <x:v>Exception evidence or credible zero-event attestation supplied</x:v>
      </x:c>
      <x:c r="G17" s="28" t="str">
        <x:v>Fail — not provided</x:v>
      </x:c>
      <x:c r="H17" s="28" t="str">
        <x:v>No linked evidence or repository evidence beyond design/status assertion</x:v>
      </x:c>
      <x:c r="I17" s="28" t="str">
        <x:v>Not demonstrated</x:v>
      </x:c>
      <x:c r="J17" s="28" t="str">
        <x:v>Exercise analyst — independence and competence not verified</x:v>
      </x:c>
      <x:c r="K17" s="28" t="str">
        <x:v>2026-09-09</x:v>
      </x:c>
    </x:row>
    <x:row r="18">
      <x:c r="A18" s="28" t="str">
        <x:v>FF-01-T07</x:v>
      </x:c>
      <x:c r="B18" s="28" t="str">
        <x:v>AUD-AIMS-2026-001</x:v>
      </x:c>
      <x:c r="C18" s="28" t="str">
        <x:v>FF-01</x:v>
      </x:c>
      <x:c r="D18" s="28" t="str">
        <x:v>Inspect monitoring and owner review</x:v>
      </x:c>
      <x:c r="E18" s="28" t="str">
        <x:v>Metrics, outcomes and owner review support status</x:v>
      </x:c>
      <x:c r="F18" s="28" t="str">
        <x:v>Dated metrics and owner conclusion supplied</x:v>
      </x:c>
      <x:c r="G18" s="28" t="str">
        <x:v>Fail — not provided</x:v>
      </x:c>
      <x:c r="H18" s="28" t="str">
        <x:v>No linked evidence or repository evidence beyond design/status assertion</x:v>
      </x:c>
      <x:c r="I18" s="28" t="str">
        <x:v>Not demonstrated</x:v>
      </x:c>
      <x:c r="J18" s="28" t="str">
        <x:v>Exercise analyst — independence and competence not verified</x:v>
      </x:c>
      <x:c r="K18" s="28" t="str">
        <x:v>2026-09-09</x:v>
      </x:c>
    </x:row>
  </x:sheetData>
  <x:conditionalFormatting sqref="G5:G18">
    <x:cfRule type="containsText" dxfId="4" priority="1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7a432f223437477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8" hidden="0" customWidth="1"/>
    <x:col min="5" max="5" width="56" hidden="0" customWidth="1"/>
    <x:col min="6" max="6" width="30" hidden="0" customWidth="1"/>
    <x:col min="7" max="7" width="20" hidden="0" customWidth="1"/>
    <x:col min="8" max="8" width="20" hidden="0" customWidth="1"/>
    <x:col min="9" max="9" width="40" hidden="0" customWidth="1"/>
    <x:col min="10" max="10" width="20" hidden="0" customWidth="1"/>
    <x:col min="11" max="11" width="20" hidden="0" customWidth="1"/>
    <x:col min="12" max="12" width="5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8" customHeight="1">
      <x:c r="A2" s="2" t="str">
        <x:v>Evidence Request List — AUD-AIMS-2026-001</x:v>
      </x:c>
    </x:row>
    <x:row r="3" ht="26" customHeight="1">
      <x:c r="A3" s="4" t="str">
        <x:v>Twelve open requests; absence prevents substantiation but is not automatic proof of control failure</x:v>
      </x:c>
    </x:row>
    <x:row r="4">
      <x:c r="A4" s="10" t="str">
        <x:v>Request_ID</x:v>
      </x:c>
      <x:c r="B4" s="10" t="str">
        <x:v>Engagement_ID</x:v>
      </x:c>
      <x:c r="C4" s="10" t="str">
        <x:v>Control_ID</x:v>
      </x:c>
      <x:c r="D4" s="10" t="str">
        <x:v>Request_Type</x:v>
      </x:c>
      <x:c r="E4" s="10" t="str">
        <x:v>Evidence_Requested</x:v>
      </x:c>
      <x:c r="F4" s="10" t="str">
        <x:v>Requested_From</x:v>
      </x:c>
      <x:c r="G4" s="10" t="str">
        <x:v>Request_Date</x:v>
      </x:c>
      <x:c r="H4" s="10" t="str">
        <x:v>Due_Date</x:v>
      </x:c>
      <x:c r="I4" s="10" t="str">
        <x:v>Repository_Response</x:v>
      </x:c>
      <x:c r="J4" s="10" t="str">
        <x:v>Request_Status</x:v>
      </x:c>
      <x:c r="K4" s="10" t="str">
        <x:v>Evidence_ID</x:v>
      </x:c>
      <x:c r="L4" s="10" t="str">
        <x:v>Reviewer_Note</x:v>
      </x:c>
    </x:row>
    <x:row r="5">
      <x:c r="A5" s="28" t="str">
        <x:v>ER-2026-001</x:v>
      </x:c>
      <x:c r="B5" s="28" t="str">
        <x:v>AUD-AIMS-2026-001</x:v>
      </x:c>
      <x:c r="C5" s="28" t="str">
        <x:v>DD-01</x:v>
      </x:c>
      <x:c r="D5" s="28" t="str">
        <x:v>Control design and approval</x:v>
      </x:c>
      <x:c r="E5" s="28" t="str">
        <x:v>Approved procedure or specification defining the control and accountable approver</x:v>
      </x:c>
      <x:c r="F5" s="28" t="str">
        <x:v>Felix Duckson - VP Product &amp; Engineering</x:v>
      </x:c>
      <x:c r="G5" s="28" t="str">
        <x:v>2026-09-09</x:v>
      </x:c>
      <x:c r="H5" s="28" t="str">
        <x:v>2026-09-16</x:v>
      </x:c>
      <x:c r="I5" s="28" t="str">
        <x:v>Not provided in reviewed repository baseline</x:v>
      </x:c>
      <x:c r="J5" s="28" t="str">
        <x:v>Open — evidence required</x:v>
      </x:c>
      <x:c r="K5" s="28" t="str"/>
      <x:c r="L5" s="28" t="str">
        <x:v>Absence is not proof of control failure; it prevents substantiation of the Implemented claim.</x:v>
      </x:c>
    </x:row>
    <x:row r="6">
      <x:c r="A6" s="28" t="str">
        <x:v>ER-2026-002</x:v>
      </x:c>
      <x:c r="B6" s="28" t="str">
        <x:v>AUD-AIMS-2026-001</x:v>
      </x:c>
      <x:c r="C6" s="28" t="str">
        <x:v>DD-01</x:v>
      </x:c>
      <x:c r="D6" s="28" t="str">
        <x:v>Population and period</x:v>
      </x:c>
      <x:c r="E6" s="28" t="str">
        <x:v>Complete population for the review period and documented completeness method</x:v>
      </x:c>
      <x:c r="F6" s="28" t="str">
        <x:v>Felix Duckson - VP Product &amp; Engineering</x:v>
      </x:c>
      <x:c r="G6" s="28" t="str">
        <x:v>2026-09-09</x:v>
      </x:c>
      <x:c r="H6" s="28" t="str">
        <x:v>2026-09-16</x:v>
      </x:c>
      <x:c r="I6" s="28" t="str">
        <x:v>Not provided in reviewed repository baseline</x:v>
      </x:c>
      <x:c r="J6" s="28" t="str">
        <x:v>Open — evidence required</x:v>
      </x:c>
      <x:c r="K6" s="28" t="str"/>
      <x:c r="L6" s="28" t="str">
        <x:v>Absence is not proof of control failure; it prevents substantiation of the Implemented claim.</x:v>
      </x:c>
    </x:row>
    <x:row r="7">
      <x:c r="A7" s="28" t="str">
        <x:v>ER-2026-003</x:v>
      </x:c>
      <x:c r="B7" s="28" t="str">
        <x:v>AUD-AIMS-2026-001</x:v>
      </x:c>
      <x:c r="C7" s="28" t="str">
        <x:v>DD-01</x:v>
      </x:c>
      <x:c r="D7" s="28" t="str">
        <x:v>Execution records</x:v>
      </x:c>
      <x:c r="E7" s="28" t="str">
        <x:v>Version-bound approvals or monitoring records showing who performed the control and when</x:v>
      </x:c>
      <x:c r="F7" s="28" t="str">
        <x:v>Felix Duckson - VP Product &amp; Engineering</x:v>
      </x:c>
      <x:c r="G7" s="28" t="str">
        <x:v>2026-09-09</x:v>
      </x:c>
      <x:c r="H7" s="28" t="str">
        <x:v>2026-09-16</x:v>
      </x:c>
      <x:c r="I7" s="28" t="str">
        <x:v>Not provided in reviewed repository baseline</x:v>
      </x:c>
      <x:c r="J7" s="28" t="str">
        <x:v>Open — evidence required</x:v>
      </x:c>
      <x:c r="K7" s="28" t="str"/>
      <x:c r="L7" s="28" t="str">
        <x:v>Absence is not proof of control failure; it prevents substantiation of the Implemented claim.</x:v>
      </x:c>
    </x:row>
    <x:row r="8">
      <x:c r="A8" s="28" t="str">
        <x:v>ER-2026-004</x:v>
      </x:c>
      <x:c r="B8" s="28" t="str">
        <x:v>AUD-AIMS-2026-001</x:v>
      </x:c>
      <x:c r="C8" s="28" t="str">
        <x:v>DD-01</x:v>
      </x:c>
      <x:c r="D8" s="28" t="str">
        <x:v>Exceptions and overrides</x:v>
      </x:c>
      <x:c r="E8" s="28" t="str">
        <x:v>Exception, rejection, override and escalation records, including zero-event attestation if applicable</x:v>
      </x:c>
      <x:c r="F8" s="28" t="str">
        <x:v>Felix Duckson - VP Product &amp; Engineering</x:v>
      </x:c>
      <x:c r="G8" s="28" t="str">
        <x:v>2026-09-09</x:v>
      </x:c>
      <x:c r="H8" s="28" t="str">
        <x:v>2026-09-16</x:v>
      </x:c>
      <x:c r="I8" s="28" t="str">
        <x:v>Not provided in reviewed repository baseline</x:v>
      </x:c>
      <x:c r="J8" s="28" t="str">
        <x:v>Open — evidence required</x:v>
      </x:c>
      <x:c r="K8" s="28" t="str"/>
      <x:c r="L8" s="28" t="str">
        <x:v>Absence is not proof of control failure; it prevents substantiation of the Implemented claim.</x:v>
      </x:c>
    </x:row>
    <x:row r="9">
      <x:c r="A9" s="28" t="str">
        <x:v>ER-2026-005</x:v>
      </x:c>
      <x:c r="B9" s="28" t="str">
        <x:v>AUD-AIMS-2026-001</x:v>
      </x:c>
      <x:c r="C9" s="28" t="str">
        <x:v>DD-01</x:v>
      </x:c>
      <x:c r="D9" s="28" t="str">
        <x:v>Performance and outcomes</x:v>
      </x:c>
      <x:c r="E9" s="28" t="str">
        <x:v>Control metrics, threshold breaches, trends and downstream outcomes</x:v>
      </x:c>
      <x:c r="F9" s="28" t="str">
        <x:v>Felix Duckson - VP Product &amp; Engineering</x:v>
      </x:c>
      <x:c r="G9" s="28" t="str">
        <x:v>2026-09-09</x:v>
      </x:c>
      <x:c r="H9" s="28" t="str">
        <x:v>2026-09-16</x:v>
      </x:c>
      <x:c r="I9" s="28" t="str">
        <x:v>Not provided in reviewed repository baseline</x:v>
      </x:c>
      <x:c r="J9" s="28" t="str">
        <x:v>Open — evidence required</x:v>
      </x:c>
      <x:c r="K9" s="28" t="str"/>
      <x:c r="L9" s="28" t="str">
        <x:v>Absence is not proof of control failure; it prevents substantiation of the Implemented claim.</x:v>
      </x:c>
    </x:row>
    <x:row r="10">
      <x:c r="A10" s="28" t="str">
        <x:v>ER-2026-006</x:v>
      </x:c>
      <x:c r="B10" s="28" t="str">
        <x:v>AUD-AIMS-2026-001</x:v>
      </x:c>
      <x:c r="C10" s="28" t="str">
        <x:v>DD-01</x:v>
      </x:c>
      <x:c r="D10" s="28" t="str">
        <x:v>Owner review</x:v>
      </x:c>
      <x:c r="E10" s="28" t="str">
        <x:v>Dated owner review, conclusion, action decisions and follow-up evidence</x:v>
      </x:c>
      <x:c r="F10" s="28" t="str">
        <x:v>Felix Duckson - VP Product &amp; Engineering</x:v>
      </x:c>
      <x:c r="G10" s="28" t="str">
        <x:v>2026-09-09</x:v>
      </x:c>
      <x:c r="H10" s="28" t="str">
        <x:v>2026-09-16</x:v>
      </x:c>
      <x:c r="I10" s="28" t="str">
        <x:v>Not provided in reviewed repository baseline</x:v>
      </x:c>
      <x:c r="J10" s="28" t="str">
        <x:v>Open — evidence required</x:v>
      </x:c>
      <x:c r="K10" s="28" t="str"/>
      <x:c r="L10" s="28" t="str">
        <x:v>Absence is not proof of control failure; it prevents substantiation of the Implemented claim.</x:v>
      </x:c>
    </x:row>
    <x:row r="11">
      <x:c r="A11" s="28" t="str">
        <x:v>ER-2026-007</x:v>
      </x:c>
      <x:c r="B11" s="28" t="str">
        <x:v>AUD-AIMS-2026-001</x:v>
      </x:c>
      <x:c r="C11" s="28" t="str">
        <x:v>FF-01</x:v>
      </x:c>
      <x:c r="D11" s="28" t="str">
        <x:v>Control design and approval</x:v>
      </x:c>
      <x:c r="E11" s="28" t="str">
        <x:v>Approved procedure or specification defining the control and accountable approver</x:v>
      </x:c>
      <x:c r="F11" s="28" t="str">
        <x:v>Tobias Duckman - Director Supply Chain</x:v>
      </x:c>
      <x:c r="G11" s="28" t="str">
        <x:v>2026-09-09</x:v>
      </x:c>
      <x:c r="H11" s="28" t="str">
        <x:v>2026-09-16</x:v>
      </x:c>
      <x:c r="I11" s="28" t="str">
        <x:v>Not provided in reviewed repository baseline</x:v>
      </x:c>
      <x:c r="J11" s="28" t="str">
        <x:v>Open — evidence required</x:v>
      </x:c>
      <x:c r="K11" s="28" t="str"/>
      <x:c r="L11" s="28" t="str">
        <x:v>Absence is not proof of control failure; it prevents substantiation of the Implemented claim.</x:v>
      </x:c>
    </x:row>
    <x:row r="12">
      <x:c r="A12" s="28" t="str">
        <x:v>ER-2026-008</x:v>
      </x:c>
      <x:c r="B12" s="28" t="str">
        <x:v>AUD-AIMS-2026-001</x:v>
      </x:c>
      <x:c r="C12" s="28" t="str">
        <x:v>FF-01</x:v>
      </x:c>
      <x:c r="D12" s="28" t="str">
        <x:v>Population and period</x:v>
      </x:c>
      <x:c r="E12" s="28" t="str">
        <x:v>Complete population for the review period and documented completeness method</x:v>
      </x:c>
      <x:c r="F12" s="28" t="str">
        <x:v>Tobias Duckman - Director Supply Chain</x:v>
      </x:c>
      <x:c r="G12" s="28" t="str">
        <x:v>2026-09-09</x:v>
      </x:c>
      <x:c r="H12" s="28" t="str">
        <x:v>2026-09-16</x:v>
      </x:c>
      <x:c r="I12" s="28" t="str">
        <x:v>Not provided in reviewed repository baseline</x:v>
      </x:c>
      <x:c r="J12" s="28" t="str">
        <x:v>Open — evidence required</x:v>
      </x:c>
      <x:c r="K12" s="28" t="str"/>
      <x:c r="L12" s="28" t="str">
        <x:v>Absence is not proof of control failure; it prevents substantiation of the Implemented claim.</x:v>
      </x:c>
    </x:row>
    <x:row r="13">
      <x:c r="A13" s="28" t="str">
        <x:v>ER-2026-009</x:v>
      </x:c>
      <x:c r="B13" s="28" t="str">
        <x:v>AUD-AIMS-2026-001</x:v>
      </x:c>
      <x:c r="C13" s="28" t="str">
        <x:v>FF-01</x:v>
      </x:c>
      <x:c r="D13" s="28" t="str">
        <x:v>Execution records</x:v>
      </x:c>
      <x:c r="E13" s="28" t="str">
        <x:v>Version-bound approvals or monitoring records showing who performed the control and when</x:v>
      </x:c>
      <x:c r="F13" s="28" t="str">
        <x:v>Tobias Duckman - Director Supply Chain</x:v>
      </x:c>
      <x:c r="G13" s="28" t="str">
        <x:v>2026-09-09</x:v>
      </x:c>
      <x:c r="H13" s="28" t="str">
        <x:v>2026-09-16</x:v>
      </x:c>
      <x:c r="I13" s="28" t="str">
        <x:v>Not provided in reviewed repository baseline</x:v>
      </x:c>
      <x:c r="J13" s="28" t="str">
        <x:v>Open — evidence required</x:v>
      </x:c>
      <x:c r="K13" s="28" t="str"/>
      <x:c r="L13" s="28" t="str">
        <x:v>Absence is not proof of control failure; it prevents substantiation of the Implemented claim.</x:v>
      </x:c>
    </x:row>
    <x:row r="14">
      <x:c r="A14" s="28" t="str">
        <x:v>ER-2026-010</x:v>
      </x:c>
      <x:c r="B14" s="28" t="str">
        <x:v>AUD-AIMS-2026-001</x:v>
      </x:c>
      <x:c r="C14" s="28" t="str">
        <x:v>FF-01</x:v>
      </x:c>
      <x:c r="D14" s="28" t="str">
        <x:v>Exceptions and overrides</x:v>
      </x:c>
      <x:c r="E14" s="28" t="str">
        <x:v>Exception, rejection, override and escalation records, including zero-event attestation if applicable</x:v>
      </x:c>
      <x:c r="F14" s="28" t="str">
        <x:v>Tobias Duckman - Director Supply Chain</x:v>
      </x:c>
      <x:c r="G14" s="28" t="str">
        <x:v>2026-09-09</x:v>
      </x:c>
      <x:c r="H14" s="28" t="str">
        <x:v>2026-09-16</x:v>
      </x:c>
      <x:c r="I14" s="28" t="str">
        <x:v>Not provided in reviewed repository baseline</x:v>
      </x:c>
      <x:c r="J14" s="28" t="str">
        <x:v>Open — evidence required</x:v>
      </x:c>
      <x:c r="K14" s="28" t="str"/>
      <x:c r="L14" s="28" t="str">
        <x:v>Absence is not proof of control failure; it prevents substantiation of the Implemented claim.</x:v>
      </x:c>
    </x:row>
    <x:row r="15">
      <x:c r="A15" s="28" t="str">
        <x:v>ER-2026-011</x:v>
      </x:c>
      <x:c r="B15" s="28" t="str">
        <x:v>AUD-AIMS-2026-001</x:v>
      </x:c>
      <x:c r="C15" s="28" t="str">
        <x:v>FF-01</x:v>
      </x:c>
      <x:c r="D15" s="28" t="str">
        <x:v>Performance and outcomes</x:v>
      </x:c>
      <x:c r="E15" s="28" t="str">
        <x:v>Control metrics, threshold breaches, trends and downstream outcomes</x:v>
      </x:c>
      <x:c r="F15" s="28" t="str">
        <x:v>Tobias Duckman - Director Supply Chain</x:v>
      </x:c>
      <x:c r="G15" s="28" t="str">
        <x:v>2026-09-09</x:v>
      </x:c>
      <x:c r="H15" s="28" t="str">
        <x:v>2026-09-16</x:v>
      </x:c>
      <x:c r="I15" s="28" t="str">
        <x:v>Not provided in reviewed repository baseline</x:v>
      </x:c>
      <x:c r="J15" s="28" t="str">
        <x:v>Open — evidence required</x:v>
      </x:c>
      <x:c r="K15" s="28" t="str"/>
      <x:c r="L15" s="28" t="str">
        <x:v>Absence is not proof of control failure; it prevents substantiation of the Implemented claim.</x:v>
      </x:c>
    </x:row>
    <x:row r="16">
      <x:c r="A16" s="28" t="str">
        <x:v>ER-2026-012</x:v>
      </x:c>
      <x:c r="B16" s="28" t="str">
        <x:v>AUD-AIMS-2026-001</x:v>
      </x:c>
      <x:c r="C16" s="28" t="str">
        <x:v>FF-01</x:v>
      </x:c>
      <x:c r="D16" s="28" t="str">
        <x:v>Owner review</x:v>
      </x:c>
      <x:c r="E16" s="28" t="str">
        <x:v>Dated owner review, conclusion, action decisions and follow-up evidence</x:v>
      </x:c>
      <x:c r="F16" s="28" t="str">
        <x:v>Tobias Duckman - Director Supply Chain</x:v>
      </x:c>
      <x:c r="G16" s="28" t="str">
        <x:v>2026-09-09</x:v>
      </x:c>
      <x:c r="H16" s="28" t="str">
        <x:v>2026-09-16</x:v>
      </x:c>
      <x:c r="I16" s="28" t="str">
        <x:v>Not provided in reviewed repository baseline</x:v>
      </x:c>
      <x:c r="J16" s="28" t="str">
        <x:v>Open — evidence required</x:v>
      </x:c>
      <x:c r="K16" s="28" t="str"/>
      <x:c r="L16" s="28" t="str">
        <x:v>Absence is not proof of control failure; it prevents substantiation of the Implemented claim.</x:v>
      </x:c>
    </x:row>
  </x:sheetData>
  <x:conditionalFormatting sqref="J5:J16">
    <x:cfRule type="containsText" dxfId="5" priority="1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37375cb00b9242b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44" hidden="0" customWidth="1"/>
    <x:col min="5" max="5" width="20" hidden="0" customWidth="1"/>
    <x:col min="6" max="6" width="56" hidden="0" customWidth="1"/>
    <x:col min="7" max="7" width="56" hidden="0" customWidth="1"/>
    <x:col min="8" max="8" width="56" hidden="0" customWidth="1"/>
    <x:col min="9" max="9" width="56" hidden="0" customWidth="1"/>
    <x:col min="10" max="10" width="56" hidden="0" customWidth="1"/>
    <x:col min="11" max="11" width="56" hidden="0" customWidth="1"/>
    <x:col min="12" max="12" width="56" hidden="0" customWidth="1"/>
    <x:col min="13" max="13" width="30" hidden="0" customWidth="1"/>
    <x:col min="14" max="14" width="20" hidden="0" customWidth="1"/>
    <x:col min="15" max="15" width="60" hidden="0" customWidth="1"/>
    <x:col min="16" max="16" width="20" hidden="0" customWidth="1"/>
    <x:col min="17" max="17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8" customHeight="1">
      <x:c r="A2" s="2" t="str">
        <x:v>AIMS Audit Findings and Actions</x:v>
      </x:c>
    </x:row>
    <x:row r="3" ht="26" customHeight="1">
      <x:c r="A3" s="4" t="str">
        <x:v>Two High findings; management response and independent closure validation required</x:v>
      </x:c>
    </x:row>
    <x:row r="4">
      <x:c r="A4" s="10" t="str">
        <x:v>Finding_ID</x:v>
      </x:c>
      <x:c r="B4" s="10" t="str">
        <x:v>Engagement_ID</x:v>
      </x:c>
      <x:c r="C4" s="10" t="str">
        <x:v>Control_ID</x:v>
      </x:c>
      <x:c r="D4" s="10" t="str">
        <x:v>Title</x:v>
      </x:c>
      <x:c r="E4" s="10" t="str">
        <x:v>Severity</x:v>
      </x:c>
      <x:c r="F4" s="10" t="str">
        <x:v>Condition</x:v>
      </x:c>
      <x:c r="G4" s="10" t="str">
        <x:v>Criteria</x:v>
      </x:c>
      <x:c r="H4" s="10" t="str">
        <x:v>Cause</x:v>
      </x:c>
      <x:c r="I4" s="10" t="str">
        <x:v>Effect</x:v>
      </x:c>
      <x:c r="J4" s="10" t="str">
        <x:v>Required_Action</x:v>
      </x:c>
      <x:c r="K4" s="10" t="str">
        <x:v>Action_Owner</x:v>
      </x:c>
      <x:c r="L4" s="10" t="str">
        <x:v>Due_Date</x:v>
      </x:c>
      <x:c r="M4" s="10" t="str">
        <x:v>Management_Response</x:v>
      </x:c>
      <x:c r="N4" s="10" t="str">
        <x:v>Status</x:v>
      </x:c>
      <x:c r="O4" s="10" t="str">
        <x:v>Closure_Evidence</x:v>
      </x:c>
      <x:c r="P4" s="10" t="str">
        <x:v>Independent_Validation</x:v>
      </x:c>
      <x:c r="Q4" s="10" t="str">
        <x:v>Auto_Closed</x:v>
      </x:c>
    </x:row>
    <x:row r="5">
      <x:c r="A5" s="28" t="str">
        <x:v>IAF-2026-002</x:v>
      </x:c>
      <x:c r="B5" s="28" t="str">
        <x:v>AUD-AIMS-2026-001</x:v>
      </x:c>
      <x:c r="C5" s="28" t="str">
        <x:v>DD-01</x:v>
      </x:c>
      <x:c r="D5" s="28" t="str">
        <x:v>Competent Engineer Approval implementation claim is unsupported</x:v>
      </x:c>
      <x:c r="E5" s="28" t="str">
        <x:v>High</x:v>
      </x:c>
      <x:c r="F5" s="28" t="str">
        <x:v>The source status is Implemented, but the applicability register links no stable evidence ID and the reviewed repository contains no population, execution sample, exceptions, metrics or owner review.</x:v>
      </x:c>
      <x:c r="G5" s="28" t="str">
        <x:v>An Implemented status must be supported by retrievable, version-bound implementation and operating evidence.</x:v>
      </x:c>
      <x:c r="H5" s="28" t="str">
        <x:v>Evidence was not linked or supplied; the cause of the evidence gap requires management confirmation.</x:v>
      </x:c>
      <x:c r="I5" s="28" t="str">
        <x:v>The control cannot receive implementation, effectiveness or risk-reduction credit; reliance could overstate assurance.</x:v>
      </x:c>
      <x:c r="J5" s="28" t="str">
        <x:v>Provide and independently validate the requested evidence or change the operational status to Not demonstrated/Planned; reassess related risk treatment.</x:v>
      </x:c>
      <x:c r="K5" s="28" t="str">
        <x:v>Felix Duckson - VP Product &amp; Engineering</x:v>
      </x:c>
      <x:c r="L5" s="28" t="str">
        <x:v>2026-10-31</x:v>
      </x:c>
      <x:c r="M5" s="28" t="str">
        <x:v>Pending</x:v>
      </x:c>
      <x:c r="N5" s="28" t="str">
        <x:v>Open — management response required</x:v>
      </x:c>
      <x:c r="O5" s="28" t="str">
        <x:v>Validated evidence package or approved status downgrade, risk reassessment and crosswalk update</x:v>
      </x:c>
      <x:c r="P5" s="28" t="str">
        <x:v>Required</x:v>
      </x:c>
      <x:c r="Q5" s="28" t="str">
        <x:v>No</x:v>
      </x:c>
    </x:row>
    <x:row r="6">
      <x:c r="A6" s="28" t="str">
        <x:v>IAF-2026-003</x:v>
      </x:c>
      <x:c r="B6" s="28" t="str">
        <x:v>AUD-AIMS-2026-001</x:v>
      </x:c>
      <x:c r="C6" s="28" t="str">
        <x:v>FF-01</x:v>
      </x:c>
      <x:c r="D6" s="28" t="str">
        <x:v>Human Planning Approval &amp; Override implementation claim is unsupported</x:v>
      </x:c>
      <x:c r="E6" s="28" t="str">
        <x:v>High</x:v>
      </x:c>
      <x:c r="F6" s="28" t="str">
        <x:v>The source status is Implemented, but the applicability register links no stable evidence ID and the reviewed repository contains no population, execution sample, overrides, metrics or owner review.</x:v>
      </x:c>
      <x:c r="G6" s="28" t="str">
        <x:v>An Implemented status must be supported by retrievable, version-bound implementation and operating evidence.</x:v>
      </x:c>
      <x:c r="H6" s="28" t="str">
        <x:v>Evidence was not linked or supplied; the cause of the evidence gap requires management confirmation.</x:v>
      </x:c>
      <x:c r="I6" s="28" t="str">
        <x:v>The control cannot receive implementation, effectiveness or risk-reduction credit; reliance could overstate assurance.</x:v>
      </x:c>
      <x:c r="J6" s="28" t="str">
        <x:v>Provide and independently validate the requested evidence or change the operational status to Not demonstrated/Planned; reassess related risk treatment.</x:v>
      </x:c>
      <x:c r="K6" s="28" t="str">
        <x:v>Tobias Duckman - Director Supply Chain</x:v>
      </x:c>
      <x:c r="L6" s="28" t="str">
        <x:v>2026-10-31</x:v>
      </x:c>
      <x:c r="M6" s="28" t="str">
        <x:v>Pending</x:v>
      </x:c>
      <x:c r="N6" s="28" t="str">
        <x:v>Open — management response required</x:v>
      </x:c>
      <x:c r="O6" s="28" t="str">
        <x:v>Validated evidence package or approved status downgrade, risk reassessment and crosswalk update</x:v>
      </x:c>
      <x:c r="P6" s="28" t="str">
        <x:v>Required</x:v>
      </x:c>
      <x:c r="Q6" s="28" t="str">
        <x:v>No</x:v>
      </x:c>
    </x:row>
  </x:sheetData>
  <x:conditionalFormatting sqref="E5:E6">
    <x:cfRule type="containsText" dxfId="6" priority="1" operator="containsText" text="High"/>
  </x:conditionalFormatting>
  <x:conditionalFormatting sqref="N5:N6">
    <x:cfRule type="containsText" dxfId="7" priority="2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193e12555fb7416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5" hidden="0" customWidth="1"/>
    <x:col min="3" max="3" width="55" hidden="0" customWidth="1"/>
    <x:col min="4" max="4" width="5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8" customHeight="1">
      <x:c r="A2" s="2" t="str">
        <x:v>Audit Decision Rules</x:v>
      </x:c>
    </x:row>
    <x:row r="3" ht="26" customHeight="1">
      <x:c r="A3" s="4" t="str">
        <x:v>Automation validates completeness; independent humans make and approve assurance decisions</x:v>
      </x:c>
    </x:row>
    <x:row r="5">
      <x:c r="A5" s="10" t="str">
        <x:v>Rule</x:v>
      </x:c>
      <x:c r="B5" s="10" t="str">
        <x:v>Trigger</x:v>
      </x:c>
      <x:c r="C5" s="10" t="str">
        <x:v>Required response</x:v>
      </x:c>
      <x:c r="D5" s="10" t="str">
        <x:v>Automation boundary</x:v>
      </x:c>
    </x:row>
    <x:row r="6">
      <x:c r="A6" s="14" t="str">
        <x:v>Unsupported Implemented claim</x:v>
      </x:c>
      <x:c r="B6" s="14" t="str">
        <x:v>Implemented status + no stable evidence</x:v>
      </x:c>
      <x:c r="C6" s="14" t="str">
        <x:v>P1 audit; request evidence; withhold risk credit</x:v>
      </x:c>
      <x:c r="D6" s="14" t="str">
        <x:v>May flag; cannot downgrade or approve</x:v>
      </x:c>
    </x:row>
    <x:row r="7">
      <x:c r="A7" s="14" t="str">
        <x:v>Linked synthetic evidence</x:v>
      </x:c>
      <x:c r="B7" s="14" t="str">
        <x:v>Any linked bounded evidence</x:v>
      </x:c>
      <x:c r="C7" s="14" t="str">
        <x:v>P2 integrity review; preserve production boundary</x:v>
      </x:c>
      <x:c r="D7" s="14" t="str">
        <x:v>May check links; cannot infer effectiveness</x:v>
      </x:c>
    </x:row>
    <x:row r="8">
      <x:c r="A8" s="14" t="str">
        <x:v>Partial/ad hoc without evidence</x:v>
      </x:c>
      <x:c r="B8" s="14" t="str">
        <x:v>Source assertion + no linked evidence</x:v>
      </x:c>
      <x:c r="C8" s="14" t="str">
        <x:v>P2 design/implementation assurance</x:v>
      </x:c>
      <x:c r="D8" s="14" t="str">
        <x:v>May flag only</x:v>
      </x:c>
    </x:row>
    <x:row r="9">
      <x:c r="A9" s="14" t="str">
        <x:v>Planned/not implemented</x:v>
      </x:c>
      <x:c r="B9" s="14" t="str">
        <x:v>No current implementation claim</x:v>
      </x:c>
      <x:c r="C9" s="14" t="str">
        <x:v>P3 readiness review</x:v>
      </x:c>
      <x:c r="D9" s="14" t="str">
        <x:v>Cannot award implementation credit</x:v>
      </x:c>
    </x:row>
    <x:row r="10">
      <x:c r="A10" s="14" t="str">
        <x:v>Finding closure</x:v>
      </x:c>
      <x:c r="B10" s="14" t="str">
        <x:v>Required evidence and action complete</x:v>
      </x:c>
      <x:c r="C10" s="14" t="str">
        <x:v>Independent validation and authorized closure</x:v>
      </x:c>
      <x:c r="D10" s="14" t="str">
        <x:v>Zero automatic closure</x:v>
      </x:c>
    </x:row>
    <x:row r="11">
      <x:c r="A11" s="14" t="str">
        <x:v>Scope change</x:v>
      </x:c>
      <x:c r="B11" s="14" t="str">
        <x:v>Material system/risk/control/evidence change</x:v>
      </x:c>
      <x:c r="C11" s="14" t="str">
        <x:v>Reconcile universe and reapprove programme</x:v>
      </x:c>
      <x:c r="D11" s="14" t="str">
        <x:v>Cannot silently remove coverage</x:v>
      </x:c>
    </x:row>
    <x:row r="12">
      <x:c r="A12" s="14" t="str">
        <x:v>Normative mapping</x:v>
      </x:c>
      <x:c r="B12" s="14" t="str">
        <x:v>Claim references ISO/IEC 42001</x:v>
      </x:c>
      <x:c r="C12" s="14" t="str">
        <x:v>Verify authorized standard and competent review</x:v>
      </x:c>
      <x:c r="D12" s="14" t="str">
        <x:v>Local themes are not ISO clauses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5B6573"/>
  </x:sheetPr>
  <x:sheetViews>
    <x:sheetView showGridLines="0" workbookViewId="0"/>
  </x:sheetViews>
  <x:sheetFormatPr defaultRowHeight="15"/>
  <x:cols>
    <x:col min="1" max="1" width="30" hidden="0" customWidth="1"/>
    <x:col min="2" max="2" width="10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8" customHeight="1">
      <x:c r="A2" s="2" t="str">
        <x:v>Read Me — AIMS Internal Audit Programme</x:v>
      </x:c>
    </x:row>
    <x:row r="5">
      <x:c r="A5" s="10" t="str">
        <x:v>Purpose</x:v>
      </x:c>
      <x:c r="B5" s="14" t="str">
        <x:v>Risk-based audit planning, first-wave control testing, findings and follow-up for the AIMS.</x:v>
      </x:c>
    </x:row>
    <x:row r="6">
      <x:c r="A6" s="10" t="str">
        <x:v>Release</x:v>
      </x:c>
      <x:c r="B6" s="14" t="str">
        <x:v>Project W.I.N.G. v1.7</x:v>
      </x:c>
    </x:row>
    <x:row r="7">
      <x:c r="A7" s="10" t="str">
        <x:v>Audit universe</x:v>
      </x:c>
      <x:c r="B7" s="14" t="str">
        <x:v>45 controls: 2 P1, 23 P2, 20 P3</x:v>
      </x:c>
    </x:row>
    <x:row r="8">
      <x:c r="A8" s="10" t="str">
        <x:v>First wave</x:v>
      </x:c>
      <x:c r="B8" s="14" t="str">
        <x:v>AUD-AIMS-2026-001 — DD-01 and FF-01</x:v>
      </x:c>
    </x:row>
    <x:row r="9">
      <x:c r="A9" s="10" t="str">
        <x:v>First-wave result</x:v>
      </x:c>
      <x:c r="B9" s="14" t="str">
        <x:v>Both source Implemented labels are not demonstrated by reviewed repository evidence.</x:v>
      </x:c>
    </x:row>
    <x:row r="10">
      <x:c r="A10" s="10" t="str">
        <x:v>Findings</x:v>
      </x:c>
      <x:c r="B10" s="14" t="str">
        <x:v>IAF-2026-002 and IAF-2026-003 — High / open</x:v>
      </x:c>
    </x:row>
    <x:row r="11">
      <x:c r="A11" s="10" t="str">
        <x:v>Formula outputs</x:v>
      </x:c>
      <x:c r="B11" s="14" t="str">
        <x:v>Dashboard counts link to the detailed sheets.</x:v>
      </x:c>
    </x:row>
    <x:row r="12">
      <x:c r="A12" s="10" t="str">
        <x:v>Authoritative data</x:v>
      </x:c>
      <x:c r="B12" s="14" t="str">
        <x:v>CSV files in the same folder are machine-readable sources.</x:v>
      </x:c>
    </x:row>
    <x:row r="13">
      <x:c r="A13" s="10" t="str">
        <x:v>Human authority</x:v>
      </x:c>
      <x:c r="B13" s="14" t="str">
        <x:v>Independent competent humans approve the programme, conclusions, status changes and closure.</x:v>
      </x:c>
    </x:row>
    <x:row r="14">
      <x:c r="A14" s="10" t="str">
        <x:v>Automation</x:v>
      </x:c>
      <x:c r="B14" s="14" t="str">
        <x:v>The gate validates 13 bounded assertions and closes zero findings.</x:v>
      </x:c>
    </x:row>
    <x:row r="15">
      <x:c r="A15" s="10" t="str">
        <x:v>Evidence boundary</x:v>
      </x:c>
      <x:c r="B15" s="14" t="str">
        <x:v>Synthetic repository review; no production effectiveness or risk-reduction claim.</x:v>
      </x:c>
    </x:row>
    <x:row r="16">
      <x:c r="A16" s="10" t="str">
        <x:v>ISO boundary</x:v>
      </x:c>
      <x:c r="B16" s="14" t="str">
        <x:v>Local AIMS themes are not normative clause mappings; conformity and certification are not demonstrated.</x:v>
      </x:c>
    </x:row>
    <x:row r="17">
      <x:c r="A17" s="10" t="str">
        <x:v>Maintenance</x:v>
      </x:c>
      <x:c r="B17" s="14" t="str">
        <x:v>Review quarterly, after material change and after finding status changes.</x:v>
      </x:c>
    </x:row>
  </x:sheetData>
  <x:pageMargins left="0.7" right="0.7" top="0.75" bottom="0.75" header="0.3" footer="0.3"/>
</x:worksheet>
</file>