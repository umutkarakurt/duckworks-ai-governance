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4eb48a0e6f4518" /></Relationships>
</file>

<file path=xl/workbook.xml><?xml version="1.0" encoding="utf-8"?>
<x:workbook xmlns:x="http://schemas.openxmlformats.org/spreadsheetml/2006/main">
  <x:sheets>
    <x:sheet xmlns:r="http://schemas.openxmlformats.org/officeDocument/2006/relationships" name="Findings" sheetId="1" r:id="Rf077f2899ca94f98"/>
    <x:sheet xmlns:r="http://schemas.openxmlformats.org/officeDocument/2006/relationships" name="Dashboard" sheetId="2" r:id="R17d4fe5431224c6a"/>
    <x:sheet xmlns:r="http://schemas.openxmlformats.org/officeDocument/2006/relationships" name="Interview Questions" sheetId="3" r:id="R4b459442053a4775"/>
    <x:sheet xmlns:r="http://schemas.openxmlformats.org/officeDocument/2006/relationships" name="Evidence Requests" sheetId="4" r:id="R009769af20f844ab"/>
    <x:sheet xmlns:r="http://schemas.openxmlformats.org/officeDocument/2006/relationships" name="Claim Guardrails" sheetId="5" r:id="Rd86a44410df54f6c"/>
    <x:sheet xmlns:r="http://schemas.openxmlformats.org/officeDocument/2006/relationships" name="Source Crosswalk" sheetId="6" r:id="Ra195413829f9411d"/>
    <x:sheet xmlns:r="http://schemas.openxmlformats.org/officeDocument/2006/relationships" name="Calc" sheetId="7" r:id="R1a4a4b953c0d465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x:xf numFmtId="0" fontId="2" fillId="2" borderId="1" xfId="0" applyNumberFormat="1" applyFont="1" applyFill="1" applyBorder="1" applyAlignment="1">
      <x:alignment horizontal="left"/>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2"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3"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1" fillId="2" borderId="1" xfId="0" applyNumberFormat="1" applyFont="1" applyFill="1" applyBorder="1" applyAlignment="1">
      <x:alignment vertical="top"/>
    </x:xf>
  </x:cellXfs>
  <x:cellStyles count="1">
    <x:cellStyle name="Normal" xfId="0"/>
  </x:cellStyles>
  <x:dxfs count="4">
    <x:dxf>
      <x:font>
        <x:b/>
        <x:color rgb="FF990000"/>
      </x:font>
      <x:fill>
        <x:patternFill patternType="solid">
          <x:bgColor rgb="FFF4CCCC"/>
        </x:patternFill>
      </x:fill>
    </x:dxf>
    <x:dxf>
      <x:font>
        <x:b/>
        <x:color rgb="FF9C5700"/>
      </x:font>
      <x:fill>
        <x:patternFill patternType="solid">
          <x:bgColor rgb="FFFCE5CD"/>
        </x:patternFill>
      </x:fill>
    </x:dxf>
    <x:dxf>
      <x:font>
        <x:color rgb="FF7F6000"/>
      </x:font>
      <x:fill>
        <x:patternFill patternType="solid">
          <x:bgColor rgb="FFFFF2CC"/>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5f44008c064460" /><Relationship Type="http://schemas.openxmlformats.org/officeDocument/2006/relationships/theme" Target="/xl/theme/theme1.xml" Id="R33d283f92c1a4028" /><Relationship Type="http://schemas.openxmlformats.org/officeDocument/2006/relationships/sharedStrings" Target="/xl/sharedStrings.xml" Id="Rf58936eab4474187" /><Relationship Type="http://schemas.openxmlformats.org/officeDocument/2006/relationships/worksheet" Target="/xl/worksheets/sheet1.xml" Id="Rf077f2899ca94f98" /><Relationship Type="http://schemas.openxmlformats.org/officeDocument/2006/relationships/worksheet" Target="/xl/worksheets/sheet2.xml" Id="R17d4fe5431224c6a" /><Relationship Type="http://schemas.openxmlformats.org/officeDocument/2006/relationships/worksheet" Target="/xl/worksheets/sheet3.xml" Id="R4b459442053a4775" /><Relationship Type="http://schemas.openxmlformats.org/officeDocument/2006/relationships/worksheet" Target="/xl/worksheets/sheet4.xml" Id="R009769af20f844ab" /><Relationship Type="http://schemas.openxmlformats.org/officeDocument/2006/relationships/worksheet" Target="/xl/worksheets/sheet5.xml" Id="Rd86a44410df54f6c" /><Relationship Type="http://schemas.openxmlformats.org/officeDocument/2006/relationships/worksheet" Target="/xl/worksheets/sheet6.xml" Id="Ra195413829f9411d" /><Relationship Type="http://schemas.openxmlformats.org/officeDocument/2006/relationships/worksheet" Target="/xl/worksheets/sheet7.xml" Id="R1a4a4b953c0d465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f1d43e5bcbf42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Findings by severity</a:t>
            </a:r>
          </a:p>
        </c:rich>
      </c:tx>
    </c:title>
    <c:plotArea>
      <c:barChart>
        <c:barDir val="col"/>
        <c:varyColors val="0"/>
        <c:ser>
          <c:idx val="0"/>
          <c:order val="0"/>
          <c:tx>
            <c:v>Series 1</c:v>
          </c:tx>
          <c:cat>
            <c:strRef>
              <c:f>'Dashboard'!$A$5:$A$7</c:f>
              <c:strCache>
                <c:ptCount val="0"/>
              </c:strCache>
            </c:strRef>
          </c:cat>
          <c:val>
            <c:numRef>
              <c:f>'Dashboard'!$B$5:$B$7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4</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1d43e5bcbf426e"/>
        </a:graphicData>
      </a:graphic>
    </xdr:graphicFrame>
    <xdr:clientData/>
  </xdr:twoCellAnchor>
</xdr:wsDr>
</file>

<file path=xl/tables/table1.xml><?xml version="1.0" encoding="utf-8"?>
<x:table xmlns:x="http://schemas.openxmlformats.org/spreadsheetml/2006/main" id="1" name="FindingsTable" displayName="FindingsTable" ref="A1:L51" headerRowCount="1" totalsRowCount="0" totalsRowShown="0">
  <x:tableColumns count="12">
    <x:tableColumn id="1" name="Finding ID"/>
    <x:tableColumn id="2" name="Severity"/>
    <x:tableColumn id="3" name="Perspective(s)"/>
    <x:tableColumn id="4" name="Theme"/>
    <x:tableColumn id="5" name="Claim Status"/>
    <x:tableColumn id="6" name="Observation"/>
    <x:tableColumn id="7" name="Evidence Source"/>
    <x:tableColumn id="8" name="Why It Will Be Challenged"/>
    <x:tableColumn id="9" name="Likely Interview Question"/>
    <x:tableColumn id="10" name="Remediation Needed (without rewriting yet)"/>
    <x:tableColumn id="11" name="Priority"/>
    <x:tableColumn id="12" name="Portfolio Blocker"/>
  </x:tableColumns>
  <x:tableStyleInfo name="TableStyleMedium2" showFirstColumn="0" showLastColumn="0" showRowStripes="1" showColumnStripes="0"/>
</x:table>
</file>

<file path=xl/tables/table2.xml><?xml version="1.0" encoding="utf-8"?>
<x:table xmlns:x="http://schemas.openxmlformats.org/spreadsheetml/2006/main" id="2" name="InterviewQuestionsTable" displayName="InterviewQuestionsTable" ref="A1:E37" headerRowCount="1" totalsRowCount="0" totalsRowShown="0">
  <x:tableColumns count="5">
    <x:tableColumn id="1" name="Question ID"/>
    <x:tableColumn id="2" name="Perspective"/>
    <x:tableColumn id="3" name="Related Finding"/>
    <x:tableColumn id="4" name="Question"/>
    <x:tableColumn id="5" name="What a strong answer must show"/>
  </x:tableColumns>
  <x:tableStyleInfo name="TableStyleMedium2" showFirstColumn="0" showLastColumn="0" showRowStripes="1" showColumnStripes="0"/>
</x:table>
</file>

<file path=xl/tables/table3.xml><?xml version="1.0" encoding="utf-8"?>
<x:table xmlns:x="http://schemas.openxmlformats.org/spreadsheetml/2006/main" id="3" name="EvidenceRequestsTable" displayName="EvidenceRequestsTable" ref="A1:F26" headerRowCount="1" totalsRowCount="0" totalsRowShown="0">
  <x:tableColumns count="6">
    <x:tableColumn id="1" name="Evidence ID"/>
    <x:tableColumn id="2" name="Evidence Package / Record"/>
    <x:tableColumn id="3" name="Primary Systems"/>
    <x:tableColumn id="4" name="Why Requested"/>
    <x:tableColumn id="5" name="Minimum Contents"/>
    <x:tableColumn id="6" name="Priority"/>
  </x:tableColumns>
  <x:tableStyleInfo name="TableStyleMedium2" showFirstColumn="0" showLastColumn="0" showRowStripes="1" showColumnStripes="0"/>
</x:table>
</file>

<file path=xl/tables/table4.xml><?xml version="1.0" encoding="utf-8"?>
<x:table xmlns:x="http://schemas.openxmlformats.org/spreadsheetml/2006/main" id="4" name="ClaimGuardrailsTable" displayName="ClaimGuardrailsTable" ref="A1:D16" headerRowCount="1" totalsRowCount="0" totalsRowShown="0">
  <x:tableColumns count="4">
    <x:tableColumn id="1" name="Claim Area"/>
    <x:tableColumn id="2" name="Do Not Say"/>
    <x:tableColumn id="3" name="Defensible Current Wording"/>
    <x:tableColumn id="4" name="Reason"/>
  </x:tableColumns>
  <x:tableStyleInfo name="TableStyleMedium2" showFirstColumn="0" showLastColumn="0" showRowStripes="1" showColumnStripes="0"/>
</x:table>
</file>

<file path=xl/tables/table5.xml><?xml version="1.0" encoding="utf-8"?>
<x:table xmlns:x="http://schemas.openxmlformats.org/spreadsheetml/2006/main" id="5" name="SourceCrosswalkTable" displayName="SourceCrosswalkTable" ref="A1:C21" headerRowCount="1" totalsRowCount="0" totalsRowShown="0">
  <x:tableColumns count="3">
    <x:tableColumn id="1" name="Source Artifact"/>
    <x:tableColumn id="2" name="Primary Review Use"/>
    <x:tableColumn id="3" name="Key Skeptical Issue / Streng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33521a2f0c43e6" /></Relationships>
</file>

<file path=xl/worksheets/_rels/sheet2.xml.rels>&#65279;<?xml version="1.0" encoding="utf-8"?><Relationships xmlns="http://schemas.openxmlformats.org/package/2006/relationships"><Relationship Type="http://schemas.openxmlformats.org/officeDocument/2006/relationships/drawing" Target="/xl/drawings/drawing1.xml" Id="R46a655ce266f4320" /></Relationships>
</file>

<file path=xl/worksheets/_rels/sheet3.xml.rels>&#65279;<?xml version="1.0" encoding="utf-8"?><Relationships xmlns="http://schemas.openxmlformats.org/package/2006/relationships"><Relationship Type="http://schemas.openxmlformats.org/officeDocument/2006/relationships/table" Target="/xl/tables/table2.xml" Id="R0e1eb350cd554a73" /></Relationships>
</file>

<file path=xl/worksheets/_rels/sheet4.xml.rels>&#65279;<?xml version="1.0" encoding="utf-8"?><Relationships xmlns="http://schemas.openxmlformats.org/package/2006/relationships"><Relationship Type="http://schemas.openxmlformats.org/officeDocument/2006/relationships/table" Target="/xl/tables/table3.xml" Id="Rafce36670b954308" /></Relationships>
</file>

<file path=xl/worksheets/_rels/sheet5.xml.rels>&#65279;<?xml version="1.0" encoding="utf-8"?><Relationships xmlns="http://schemas.openxmlformats.org/package/2006/relationships"><Relationship Type="http://schemas.openxmlformats.org/officeDocument/2006/relationships/table" Target="/xl/tables/table4.xml" Id="Re42ef251db2447f5" /></Relationships>
</file>

<file path=xl/worksheets/_rels/sheet6.xml.rels>&#65279;<?xml version="1.0" encoding="utf-8"?><Relationships xmlns="http://schemas.openxmlformats.org/package/2006/relationships"><Relationship Type="http://schemas.openxmlformats.org/officeDocument/2006/relationships/table" Target="/xl/tables/table5.xml" Id="R3afe48d4112a4140" /></Relationships>
</file>

<file path=xl/worksheets/sheet1.xml><?xml version="1.0" encoding="utf-8"?>
<x:worksheet xmlns:x="http://schemas.openxmlformats.org/spreadsheetml/2006/main">
  <x:sheetFormatPr defaultRowHeight="15"/>
  <x:cols>
    <x:col min="1" max="1" width="11" hidden="0" customWidth="1"/>
    <x:col min="2" max="2" width="11" hidden="0" customWidth="1"/>
    <x:col min="3" max="3" width="30" hidden="0" customWidth="1"/>
    <x:col min="4" max="4" width="28" hidden="0" customWidth="1"/>
    <x:col min="5" max="5" width="23" hidden="0" customWidth="1"/>
    <x:col min="6" max="6" width="48" hidden="0" customWidth="1"/>
    <x:col min="7" max="7" width="42" hidden="0" customWidth="1"/>
    <x:col min="8" max="8" width="46" hidden="0" customWidth="1"/>
    <x:col min="9" max="9" width="44" hidden="0" customWidth="1"/>
    <x:col min="10" max="10" width="46" hidden="0" customWidth="1"/>
    <x:col min="11" max="11" width="10" hidden="0" customWidth="1"/>
    <x:col min="12" max="12" width="13" hidden="0" customWidth="1"/>
  </x:cols>
  <x:sheetData>
    <x:row r="1">
      <x:c r="A1" s="14" t="str">
        <x:v>Finding ID</x:v>
      </x:c>
      <x:c r="B1" s="14" t="str">
        <x:v>Severity</x:v>
      </x:c>
      <x:c r="C1" s="14" t="str">
        <x:v>Perspective(s)</x:v>
      </x:c>
      <x:c r="D1" s="14" t="str">
        <x:v>Theme</x:v>
      </x:c>
      <x:c r="E1" s="14" t="str">
        <x:v>Claim Status</x:v>
      </x:c>
      <x:c r="F1" s="14" t="str">
        <x:v>Observation</x:v>
      </x:c>
      <x:c r="G1" s="14" t="str">
        <x:v>Evidence Source</x:v>
      </x:c>
      <x:c r="H1" s="14" t="str">
        <x:v>Why It Will Be Challenged</x:v>
      </x:c>
      <x:c r="I1" s="14" t="str">
        <x:v>Likely Interview Question</x:v>
      </x:c>
      <x:c r="J1" s="14" t="str">
        <x:v>Remediation Needed (without rewriting yet)</x:v>
      </x:c>
      <x:c r="K1" s="14" t="str">
        <x:v>Priority</x:v>
      </x:c>
      <x:c r="L1" s="14" t="str">
        <x:v>Portfolio Blocker</x:v>
      </x:c>
    </x:row>
    <x:row r="2">
      <x:c r="A2" s="15" t="str">
        <x:v>F-001</x:v>
      </x:c>
      <x:c r="B2" s="15" t="str">
        <x:v>Critical</x:v>
      </x:c>
      <x:c r="C2" s="15" t="str">
        <x:v>AI governance hiring manager; Internal auditor</x:v>
      </x:c>
      <x:c r="D2" s="15" t="str">
        <x:v>Risk methodology governance / chronology</x:v>
      </x:c>
      <x:c r="E2" s="15" t="str">
        <x:v>Inconsistent</x:v>
      </x:c>
      <x:c r="F2" s="15" t="str">
        <x:v>The portfolio simultaneously contains a scored v1.0 risk report stating all seven entries were assessed and a newer Draft v0.9 workbook that explicitly prohibits scoring until formal methodology approval and reports zero systems formally scored.</x:v>
      </x:c>
      <x:c r="G2" s="15" t="str">
        <x:v>Duckworks_AI_Risk_Assessment_Report_v1.0.docx (Executive Summary); Duckworks_AI_Risk_Assessment_Workbook_Draft_v0.9.xlsx (README)</x:v>
      </x:c>
      <x:c r="H2" s="15" t="str">
        <x:v>A reviewer cannot determine which methodology is authoritative, whether approval occurred, or whether existing residual-risk decisions are valid under the current method.</x:v>
      </x:c>
      <x:c r="I2" s="15" t="str">
        <x:v>Which risk methodology is authoritative today, who approved it, when did approval occur, and why does a later workbook say zero systems are formally scored?</x:v>
      </x:c>
      <x:c r="J2" s="15" t="str">
        <x:v>Declare the authoritative methodology and supersession chain; either re-score under the approved method or clearly archive the draft/replaced artifacts.</x:v>
      </x:c>
      <x:c r="K2" s="15" t="str">
        <x:v>P0</x:v>
      </x:c>
      <x:c r="L2" s="15" t="str">
        <x:v>Yes</x:v>
      </x:c>
    </x:row>
    <x:row r="3">
      <x:c r="A3" s="15" t="str">
        <x:v>F-002</x:v>
      </x:c>
      <x:c r="B3" s="15" t="str">
        <x:v>High</x:v>
      </x:c>
      <x:c r="C3" s="15" t="str">
        <x:v>AI governance hiring manager; Internal auditor</x:v>
      </x:c>
      <x:c r="D3" s="15" t="str">
        <x:v>Risk scoring semantics</x:v>
      </x:c>
      <x:c r="E3" s="15" t="str">
        <x:v>Inconsistent</x:v>
      </x:c>
      <x:c r="F3" s="15" t="str">
        <x:v>The v1.0 methodology/report use Impact/Severity x Likelihood numeric products as risk scores and threshold bands, while the newer draft method states the matrix band is authoritative and the product is sorting-only because the scales are ordinal.</x:v>
      </x:c>
      <x:c r="G3" s="15" t="str">
        <x:v>Duckworks_AI_Risk_Classification_Assessment_Methodology_v1.0.docx; Duckworks_AI_Risk_Assessment_Workbook_Draft_v0.9.xlsx (Risk Matrix; False Precision)</x:v>
      </x:c>
      <x:c r="H3" s="15" t="str">
        <x:v>This is more than presentation drift: it changes what the numeric value means and how risk conclusions should be defended.</x:v>
      </x:c>
      <x:c r="I3" s="15" t="str">
        <x:v>Why should I trust a score of 16 rather than the High band, and what changed between the two scoring designs?</x:v>
      </x:c>
      <x:c r="J3" s="15" t="str">
        <x:v>Select one scoring philosophy and document the change rationale; remove contradictory meaning from active artifacts.</x:v>
      </x:c>
      <x:c r="K3" s="15" t="str">
        <x:v>P0</x:v>
      </x:c>
      <x:c r="L3" s="15" t="str">
        <x:v>Yes</x:v>
      </x:c>
    </x:row>
    <x:row r="4">
      <x:c r="A4" s="15" t="str">
        <x:v>F-003</x:v>
      </x:c>
      <x:c r="B4" s="15" t="str">
        <x:v>Critical</x:v>
      </x:c>
      <x:c r="C4" s="15" t="str">
        <x:v>Internal auditor; AI governance hiring manager; CISO</x:v>
      </x:c>
      <x:c r="D4" s="15" t="str">
        <x:v>Control credit without validated evidence</x:v>
      </x:c>
      <x:c r="E4" s="15" t="str">
        <x:v>Inconsistent</x:v>
      </x:c>
      <x:c r="F4" s="15" t="str">
        <x:v>DuckDesign's competent-engineer approval is marked Implemented and credited in residual risk, but the control library says operating evidence still requires validation and ASM-007 remains an Open Critical assumption.</x:v>
      </x:c>
      <x:c r="G4" s="15" t="str">
        <x:v>Duckworks_AI_Control_Library_v1.0.xlsx (DD-01); Duckworks_Project_Assumptions_Register_v1.0.docx (ASM-007); Duckworks_AI_Risk_Assessment_Report_v1.0.docx (AI-001)</x:v>
      </x:c>
      <x:c r="H4" s="15" t="str">
        <x:v>The project's own rule says planned or unvalidated controls must not reduce current residual risk. This finding directly challenges the integrity of the AI-001 residual score.</x:v>
      </x:c>
      <x:c r="I4" s="15" t="str">
        <x:v>Show me the design-review records that justified reducing AI-001 likelihood from 3 to 2. If you cannot, why is DD-01 implemented?</x:v>
      </x:c>
      <x:c r="J4" s="15" t="str">
        <x:v>Downgrade the implementation/evidence claim or provide the synthetic operating evidence that supports the credit; reconcile ASM-007.</x:v>
      </x:c>
      <x:c r="K4" s="15" t="str">
        <x:v>P0</x:v>
      </x:c>
      <x:c r="L4" s="15" t="str">
        <x:v>Yes</x:v>
      </x:c>
    </x:row>
    <x:row r="5">
      <x:c r="A5" s="15" t="str">
        <x:v>F-004</x:v>
      </x:c>
      <x:c r="B5" s="15" t="str">
        <x:v>High</x:v>
      </x:c>
      <x:c r="C5" s="15" t="str">
        <x:v>Internal auditor; CISO; AI product owner</x:v>
      </x:c>
      <x:c r="D5" s="15" t="str">
        <x:v>Human-oversight assumption used as risk treatment</x:v>
      </x:c>
      <x:c r="E5" s="15" t="str">
        <x:v>Partially supported</x:v>
      </x:c>
      <x:c r="F5" s="15" t="str">
        <x:v>WingInspect residual risk credits human final inspection, while the underlying assumption that qualified inspectors retain final acceptance/rejection authority remains Open Critical.</x:v>
      </x:c>
      <x:c r="G5" s="15" t="str">
        <x:v>Duckworks_Project_Assumptions_Register_v1.0.docx (ASM-008); Duckworks_AI_Risk_Assessment_Report_v1.0.docx (AI-004)</x:v>
      </x:c>
      <x:c r="H5" s="15" t="str">
        <x:v>A control that determines whether a safety-related system is advisory or autonomous is too material to leave as an unvalidated assumption while taking residual-risk credit.</x:v>
      </x:c>
      <x:c r="I5" s="15" t="str">
        <x:v>What workflow evidence proves inspectors can and do override the model, and what happens under throughput pressure?</x:v>
      </x:c>
      <x:c r="J5" s="15" t="str">
        <x:v>Produce a synthetic manufacturing SOP/workflow sample and oversight test evidence or remove the residual-risk credit.</x:v>
      </x:c>
      <x:c r="K5" s="15" t="str">
        <x:v>P0</x:v>
      </x:c>
      <x:c r="L5" s="15" t="str">
        <x:v>Yes</x:v>
      </x:c>
    </x:row>
    <x:row r="6">
      <x:c r="A6" s="15" t="str">
        <x:v>F-005</x:v>
      </x:c>
      <x:c r="B6" s="15" t="str">
        <x:v>High</x:v>
      </x:c>
      <x:c r="C6" s="15" t="str">
        <x:v>CISO; Internal auditor</x:v>
      </x:c>
      <x:c r="D6" s="15" t="str">
        <x:v>Access-control assumption used as control</x:v>
      </x:c>
      <x:c r="E6" s="15" t="str">
        <x:v>Inconsistent</x:v>
      </x:c>
      <x:c r="F6" s="15" t="str">
        <x:v>PondGPT permission-aware retrieval is partially credited, yet source-system authorization inheritance is explicitly an Open Critical assumption and the synthetic vendor control assumption is also Open Critical.</x:v>
      </x:c>
      <x:c r="G6" s="15" t="str">
        <x:v>Duckworks_Project_Assumptions_Register_v1.0.docx (ASM-009); Duckworks_AI_Control_Library_v1.0.xlsx (PG-01); Duckworks_Synthetic_AI_System_Inventory_v1.0.xlsx (ASM-030)</x:v>
      </x:c>
      <x:c r="H6" s="15" t="str">
        <x:v>Cross-user leakage is a primary GenAI threat. Crediting an untested authorization boundary weakens the credibility of the residual-risk conclusion.</x:v>
      </x:c>
      <x:c r="I6" s="15" t="str">
        <x:v>Show the negative authorization tests for two users with different repository rights and the exact connector configuration tested.</x:v>
      </x:c>
      <x:c r="J6" s="15" t="str">
        <x:v>Create versioned permission regression evidence and link it to the exact PondGPT baseline before crediting the control.</x:v>
      </x:c>
      <x:c r="K6" s="15" t="str">
        <x:v>P0</x:v>
      </x:c>
      <x:c r="L6" s="15" t="str">
        <x:v>Yes</x:v>
      </x:c>
    </x:row>
    <x:row r="7">
      <x:c r="A7" s="15" t="str">
        <x:v>F-006</x:v>
      </x:c>
      <x:c r="B7" s="15" t="str">
        <x:v>High</x:v>
      </x:c>
      <x:c r="C7" s="15" t="str">
        <x:v>Internal auditor; AI governance hiring manager; AI product owner</x:v>
      </x:c>
      <x:c r="D7" s="15" t="str">
        <x:v>Evidence-confidence overstatement</x:v>
      </x:c>
      <x:c r="E7" s="15" t="str">
        <x:v>Unsupported</x:v>
      </x:c>
      <x:c r="F7" s="15" t="str">
        <x:v>FeatherForecast is recorded as Effective with High evidence confidence and approved production use, yet the system AIA states that no production model, source code, vendor contract, real dataset, or technical test evidence was available.</x:v>
      </x:c>
      <x:c r="G7" s="15" t="str">
        <x:v>Duckworks_AI_Asset_Inventory_v1.0.xlsx (AI-003); Duckworks_AIA_AI-003_FeatherForecast_v1.0.docx (limitations)</x:v>
      </x:c>
      <x:c r="H7" s="15" t="str">
        <x:v>Within the portfolio's own evidence boundary, 'High' confidence is not demonstrably supported by direct, independently challengeable operating evidence.</x:v>
      </x:c>
      <x:c r="I7" s="15" t="str">
        <x:v>What evidence makes the confidence High rather than Medium if no production model, dataset, contract, or test evidence was reviewed?</x:v>
      </x:c>
      <x:c r="J7" s="15" t="str">
        <x:v>Either reduce evidence confidence or add a synthetic but inspectable evidence pack: test results, drift report, approval, access review and model/version record.</x:v>
      </x:c>
      <x:c r="K7" s="15" t="str">
        <x:v>P0</x:v>
      </x:c>
      <x:c r="L7" s="15" t="str">
        <x:v>Yes</x:v>
      </x:c>
    </x:row>
    <x:row r="8">
      <x:c r="A8" s="15" t="str">
        <x:v>F-007</x:v>
      </x:c>
      <x:c r="B8" s="15" t="str">
        <x:v>High</x:v>
      </x:c>
      <x:c r="C8" s="15" t="str">
        <x:v>AI governance hiring manager; Internal auditor</x:v>
      </x:c>
      <x:c r="D8" s="15" t="str">
        <x:v>Inventory source-of-truth</x:v>
      </x:c>
      <x:c r="E8" s="15" t="str">
        <x:v>Inconsistent</x:v>
      </x:c>
      <x:c r="F8" s="15" t="str">
        <x:v>Several artifacts define a seven-entry baseline including AI-007, while the newer synthetic inventory defines six registered systems and excludes AI-007 as an organizational condition.</x:v>
      </x:c>
      <x:c r="G8" s="15" t="str">
        <x:v>Duckworks_Project_Acceptance_Criteria_v1.0.docx (AC-01); Duckworks_Synthetic_AI_System_Inventory_v1.0.xlsx (Executive Summary); earlier QuackTrack inventories</x:v>
      </x:c>
      <x:c r="H8" s="15" t="str">
        <x:v>The distinction is conceptually defensible, but without an explicit portfolio vs registered-system taxonomy it looks like a count inconsistency and can break dashboard/acceptance criteria.</x:v>
      </x:c>
      <x:c r="I8" s="15" t="str">
        <x:v>Does Duckworks have six AI systems or seven inventory entries, and which number should the board see?</x:v>
      </x:c>
      <x:c r="J8" s="15" t="str">
        <x:v>Define authoritative counting rules: six registered AI systems plus one shadow-AI governance condition; update acceptance metrics consistently.</x:v>
      </x:c>
      <x:c r="K8" s="15" t="str">
        <x:v>P0</x:v>
      </x:c>
      <x:c r="L8" s="15" t="str">
        <x:v>Yes</x:v>
      </x:c>
    </x:row>
    <x:row r="9">
      <x:c r="A9" s="15" t="str">
        <x:v>F-008</x:v>
      </x:c>
      <x:c r="B9" s="15" t="str">
        <x:v>High</x:v>
      </x:c>
      <x:c r="C9" s="15" t="str">
        <x:v>AI governance hiring manager; Internal auditor; CISO</x:v>
      </x:c>
      <x:c r="D9" s="15" t="str">
        <x:v>Ownership inconsistency</x:v>
      </x:c>
      <x:c r="E9" s="15" t="str">
        <x:v>Inconsistent</x:v>
      </x:c>
      <x:c r="F9" s="15" t="str">
        <x:v>PondGPT's technical owner is Dr. Ada Duckfield in the AI Asset Inventory but Oliver Duckett in the newer Synthetic AI System Inventory.</x:v>
      </x:c>
      <x:c r="G9" s="15" t="str">
        <x:v>Duckworks_AI_Asset_Inventory_v1.0.xlsx (AI-006); Duckworks_Synthetic_AI_System_Inventory_v1.0.xlsx (AI-006)</x:v>
      </x:c>
      <x:c r="H9" s="15" t="str">
        <x:v>Ownership is a foundational control. A reviewer will treat conflicting accountable/technical ownership as evidence that the inventory is not under effective configuration control.</x:v>
      </x:c>
      <x:c r="I9" s="15" t="str">
        <x:v>Who is actually accountable for PondGPT's technical implementation and security configuration?</x:v>
      </x:c>
      <x:c r="J9" s="15" t="str">
        <x:v>Resolve the owner model and propagate it through inventory, RACI, assessments, controls and approval records.</x:v>
      </x:c>
      <x:c r="K9" s="15" t="str">
        <x:v>P0</x:v>
      </x:c>
      <x:c r="L9" s="15" t="str">
        <x:v>Yes</x:v>
      </x:c>
    </x:row>
    <x:row r="10">
      <x:c r="A10" s="15" t="str">
        <x:v>F-009</x:v>
      </x:c>
      <x:c r="B10" s="15" t="str">
        <x:v>High</x:v>
      </x:c>
      <x:c r="C10" s="15" t="str">
        <x:v>AI governance hiring manager; Internal auditor; CISO; Data protection specialist</x:v>
      </x:c>
      <x:c r="D10" s="15" t="str">
        <x:v>Technology/vendor drift across inventories</x:v>
      </x:c>
      <x:c r="E10" s="15" t="str">
        <x:v>Inconsistent</x:v>
      </x:c>
      <x:c r="F10" s="15" t="str">
        <x:v>The older asset inventory records DuckTalent vendor as not selected, FeatherForecast as an internal model and WingInspect as an internal model; the newer synthetic inventory assigns MeritPath, Northstar and VisiCore third-party arrangements as Open assumptions.</x:v>
      </x:c>
      <x:c r="G10" s="15" t="str">
        <x:v>Duckworks_AI_Asset_Inventory_v1.0.xlsx (Technology &amp; Data); Duckworks_Synthetic_AI_System_Inventory_v1.0.xlsx / Report (ASM-027 to ASM-029)</x:v>
      </x:c>
      <x:c r="H10" s="15" t="str">
        <x:v>Provider role, data flows, security responsibility, IP terms and legal obligations can change materially with these architecture changes.</x:v>
      </x:c>
      <x:c r="I10" s="15" t="str">
        <x:v>Were the risk, privacy, security and legal assessments reopened when the implementation model changed from internal/unknown to named third-party services?</x:v>
      </x:c>
      <x:c r="J10" s="15" t="str">
        <x:v>Treat the synthetic vendor enrichment as a controlled material change; document which assessments were reopened or why not.</x:v>
      </x:c>
      <x:c r="K10" s="15" t="str">
        <x:v>P0</x:v>
      </x:c>
      <x:c r="L10" s="15" t="str">
        <x:v>Yes</x:v>
      </x:c>
    </x:row>
    <x:row r="11">
      <x:c r="A11" s="15" t="str">
        <x:v>F-010</x:v>
      </x:c>
      <x:c r="B11" s="15" t="str">
        <x:v>High</x:v>
      </x:c>
      <x:c r="C11" s="15" t="str">
        <x:v>Internal auditor; AI governance hiring manager</x:v>
      </x:c>
      <x:c r="D11" s="15" t="str">
        <x:v>Change-control execution</x:v>
      </x:c>
      <x:c r="E11" s="15" t="str">
        <x:v>Missing evidence</x:v>
      </x:c>
      <x:c r="F11" s="15" t="str">
        <x:v>The newer inventory explicitly says material new assumptions should trigger reassessment, but the reviewed portfolio does not show change tickets or updated assessment approvals tied to ASM-025 through ASM-030.</x:v>
      </x:c>
      <x:c r="G11" s="15" t="str">
        <x:v>Duckworks_Synthetic_AI_System_Inventory_Report_v1.0.docx (change-control rule); Duckworks_AI_Change_Management_Process_Documentation_Pack_v1.0.docx</x:v>
      </x:c>
      <x:c r="H11" s="15" t="str">
        <x:v>The change-management process is well designed, but the portfolio does not demonstrate that it was actually used when the scenario itself materially changed.</x:v>
      </x:c>
      <x:c r="I11" s="15" t="str">
        <x:v>Show me one completed CM-C2/C3 change record caused by the new vendor assumptions and the artifacts it reopened.</x:v>
      </x:c>
      <x:c r="J11" s="15" t="str">
        <x:v>Add one worked synthetic change record and trace its reassessment/approval effects.</x:v>
      </x:c>
      <x:c r="K11" s="15" t="str">
        <x:v>P1</x:v>
      </x:c>
      <x:c r="L11" s="15" t="str">
        <x:v>No</x:v>
      </x:c>
    </x:row>
    <x:row r="12">
      <x:c r="A12" s="15" t="str">
        <x:v>F-011</x:v>
      </x:c>
      <x:c r="B12" s="15" t="str">
        <x:v>High</x:v>
      </x:c>
      <x:c r="C12" s="15" t="str">
        <x:v>AI governance hiring manager; Internal auditor</x:v>
      </x:c>
      <x:c r="D12" s="15" t="str">
        <x:v>Document-control staleness</x:v>
      </x:c>
      <x:c r="E12" s="15" t="str">
        <x:v>Inconsistent</x:v>
      </x:c>
      <x:c r="F12" s="15" t="str">
        <x:v>The Required Deliverables Register still marks the RACI, control library, operating model and multiple standards/playbooks as Planned/Required although many of those artifacts now exist.</x:v>
      </x:c>
      <x:c r="G12" s="15" t="str">
        <x:v>Duckworks_Project_Required_Deliverables_v1.0.docx; later RACI, control library, policy, SOP, playbook and change-management artifacts</x:v>
      </x:c>
      <x:c r="H12" s="15" t="str">
        <x:v>A portfolio that emphasizes evidence and lifecycle control should keep its own master deliverables register current.</x:v>
      </x:c>
      <x:c r="I12" s="15" t="str">
        <x:v>Which artifact register is authoritative, and why does it say planned for documents you are showing me as complete?</x:v>
      </x:c>
      <x:c r="J12" s="15" t="str">
        <x:v>Update the master deliverables register with status, version, evidence location, approval state and superseded items.</x:v>
      </x:c>
      <x:c r="K12" s="15" t="str">
        <x:v>P0</x:v>
      </x:c>
      <x:c r="L12" s="15" t="str">
        <x:v>Yes</x:v>
      </x:c>
    </x:row>
    <x:row r="13">
      <x:c r="A13" s="15" t="str">
        <x:v>F-012</x:v>
      </x:c>
      <x:c r="B13" s="15" t="str">
        <x:v>High</x:v>
      </x:c>
      <x:c r="C13" s="15" t="str">
        <x:v>Internal auditor; AI governance hiring manager</x:v>
      </x:c>
      <x:c r="D13" s="15" t="str">
        <x:v>Acceptance not actually demonstrated</x:v>
      </x:c>
      <x:c r="E13" s="15" t="str">
        <x:v>Missing evidence</x:v>
      </x:c>
      <x:c r="F13" s="15" t="str">
        <x:v>The Acceptance Criteria define Pass/Pass with Action/Fail and evidence requirements, but the reviewed portfolio does not show a completed acceptance-results register with statuses, approver decisions and exceptions.</x:v>
      </x:c>
      <x:c r="G13" s="15" t="str">
        <x:v>Duckworks_Project_Acceptance_Criteria_v1.0.docx</x:v>
      </x:c>
      <x:c r="H13" s="15" t="str">
        <x:v>Defining acceptance criteria is not the same as demonstrating that the project met them.</x:v>
      </x:c>
      <x:c r="I13" s="15" t="str">
        <x:v>Which criteria currently fail, who accepted the residual actions, and where is the signed acceptance record?</x:v>
      </x:c>
      <x:c r="J13" s="15" t="str">
        <x:v>Create a separate acceptance-results/evidence index after reconciliation; do not mark criteria passed merely because documents exist.</x:v>
      </x:c>
      <x:c r="K13" s="15" t="str">
        <x:v>P1</x:v>
      </x:c>
      <x:c r="L13" s="15" t="str">
        <x:v>No</x:v>
      </x:c>
    </x:row>
    <x:row r="14">
      <x:c r="A14" s="15" t="str">
        <x:v>F-013</x:v>
      </x:c>
      <x:c r="B14" s="15" t="str">
        <x:v>High</x:v>
      </x:c>
      <x:c r="C14" s="15" t="str">
        <x:v>Internal auditor; CISO</x:v>
      </x:c>
      <x:c r="D14" s="15" t="str">
        <x:v>Evidence repository placeholder</x:v>
      </x:c>
      <x:c r="E14" s="15" t="str">
        <x:v>Unverifiable</x:v>
      </x:c>
      <x:c r="F14" s="15" t="str">
        <x:v>Multiple inventory records point to 'Synthetic repository / 05-control-framework' as the control evidence location, while the dedicated Control Evidence Index control is still Planned.</x:v>
      </x:c>
      <x:c r="G14" s="15" t="str">
        <x:v>Duckworks_AI_Asset_Inventory_v1.0.xlsx; Duckworks_AI_Control_Library_v1.0.xlsx (AI-GOV-03)</x:v>
      </x:c>
      <x:c r="H14" s="15" t="str">
        <x:v>A folder label is not evidence traceability. It does not identify the execution record, date, version, owner or result.</x:v>
      </x:c>
      <x:c r="I14" s="15" t="str">
        <x:v>Give me the exact evidence object for DD-01 for design version Pilot-0.8 and show how it traces back to the risk scenario.</x:v>
      </x:c>
      <x:c r="J14" s="15" t="str">
        <x:v>Use evidence IDs/URIs with AI ID, control ID, version, date, owner and outcome; create sample evidence objects.</x:v>
      </x:c>
      <x:c r="K14" s="15" t="str">
        <x:v>P0</x:v>
      </x:c>
      <x:c r="L14" s="15" t="str">
        <x:v>Yes</x:v>
      </x:c>
    </x:row>
    <x:row r="15">
      <x:c r="A15" s="15" t="str">
        <x:v>F-014</x:v>
      </x:c>
      <x:c r="B15" s="15" t="str">
        <x:v>High</x:v>
      </x:c>
      <x:c r="C15" s="15" t="str">
        <x:v>Internal auditor; AI governance hiring manager</x:v>
      </x:c>
      <x:c r="D15" s="15" t="str">
        <x:v>Approval claims without approval artifacts</x:v>
      </x:c>
      <x:c r="E15" s="15" t="str">
        <x:v>Unverifiable</x:v>
      </x:c>
      <x:c r="F15" s="15" t="str">
        <x:v>Inventories use statuses such as Approved and Conditionally Approved, but the reviewed artifact set does not show corresponding committee minutes, release decisions, sign-offs or exception records.</x:v>
      </x:c>
      <x:c r="G15" s="15" t="str">
        <x:v>Duckworks_AI_Asset_Inventory_v1.0.xlsx; Duckworks_Project_Acceptance_Criteria_v1.0.docx</x:v>
      </x:c>
      <x:c r="H15" s="15" t="str">
        <x:v>An auditor will distinguish a governance status field from evidence that the designated authority actually made the decision.</x:v>
      </x:c>
      <x:c r="I15" s="15" t="str">
        <x:v>Who approved FeatherForecast for production and WingInspect/PondGPT for restricted pilot, on what date, against which evidence pack?</x:v>
      </x:c>
      <x:c r="J15" s="15" t="str">
        <x:v>Create synthetic approval decision records and link them from inventory; label status as 'simulated decision' until evidenced.</x:v>
      </x:c>
      <x:c r="K15" s="15" t="str">
        <x:v>P0</x:v>
      </x:c>
      <x:c r="L15" s="15" t="str">
        <x:v>Yes</x:v>
      </x:c>
    </x:row>
    <x:row r="16">
      <x:c r="A16" s="15" t="str">
        <x:v>F-015</x:v>
      </x:c>
      <x:c r="B16" s="15" t="str">
        <x:v>High</x:v>
      </x:c>
      <x:c r="C16" s="15" t="str">
        <x:v>CISO; Internal auditor</x:v>
      </x:c>
      <x:c r="D16" s="15" t="str">
        <x:v>GenAI technical security evidence</x:v>
      </x:c>
      <x:c r="E16" s="15" t="str">
        <x:v>Missing evidence</x:v>
      </x:c>
      <x:c r="F16" s="15" t="str">
        <x:v>QuackBot and PondGPT identify prompt injection, retrieval poisoning, data leakage and excessive permissions, but reviewed artifacts mainly define test suites and controls rather than show executed threat models and test results against exact configurations.</x:v>
      </x:c>
      <x:c r="G16" s="15" t="str">
        <x:v>Duckworks_AI_Control_Library_v1.0.xlsx (GenAI controls); AI-002/AI-006 inventory records; AIBOM</x:v>
      </x:c>
      <x:c r="H16" s="15" t="str">
        <x:v>Security competence is demonstrated by scoped attack paths, configurations, test cases, findings and remediation—not only by naming OWASP-style threats.</x:v>
      </x:c>
      <x:c r="I16" s="15" t="str">
        <x:v>Show me a successful indirect prompt-injection test, the affected trust boundary, remediation, and regression result.</x:v>
      </x:c>
      <x:c r="J16" s="15" t="str">
        <x:v>Add worked synthetic threat models and red-team/security test reports for QuackBot and PondGPT.</x:v>
      </x:c>
      <x:c r="K16" s="15" t="str">
        <x:v>P1</x:v>
      </x:c>
      <x:c r="L16" s="15" t="str">
        <x:v>No</x:v>
      </x:c>
    </x:row>
    <x:row r="17">
      <x:c r="A17" s="15" t="str">
        <x:v>F-016</x:v>
      </x:c>
      <x:c r="B17" s="15" t="str">
        <x:v>High</x:v>
      </x:c>
      <x:c r="C17" s="15" t="str">
        <x:v>CISO; Internal auditor; AI product owner</x:v>
      </x:c>
      <x:c r="D17" s="15" t="str">
        <x:v>AIBOM technical incompleteness</x:v>
      </x:c>
      <x:c r="E17" s="15" t="str">
        <x:v>Missing evidence</x:v>
      </x:c>
      <x:c r="F17" s="15" t="str">
        <x:v>The AIBOM contains many TBD/Partial fields for exact model versions, embeddings, vector stores, packages, hashes, licenses, connector versions and configuration identifiers.</x:v>
      </x:c>
      <x:c r="G17" s="15" t="str">
        <x:v>Duckworks_AI_Bill_of_Materials_Register_v1.0.xlsx</x:v>
      </x:c>
      <x:c r="H17" s="15" t="str">
        <x:v>Without exact identifiers, it is difficult to reproduce testing, prove which version was approved, assess supply-chain exposure or investigate incidents.</x:v>
      </x:c>
      <x:c r="I17" s="15" t="str">
        <x:v>Which exact model, embedding model, vector-store version and prompt/configuration hash were in the approved PondGPT pilot?</x:v>
      </x:c>
      <x:c r="J17" s="15" t="str">
        <x:v>Complete at least one system's AIBOM end-to-end with synthetic version IDs/hashes and evidence references.</x:v>
      </x:c>
      <x:c r="K17" s="15" t="str">
        <x:v>P1</x:v>
      </x:c>
      <x:c r="L17" s="15" t="str">
        <x:v>No</x:v>
      </x:c>
    </x:row>
    <x:row r="18">
      <x:c r="A18" s="15" t="str">
        <x:v>F-017</x:v>
      </x:c>
      <x:c r="B18" s="15" t="str">
        <x:v>High</x:v>
      </x:c>
      <x:c r="C18" s="15" t="str">
        <x:v>CISO; Internal auditor; AI governance hiring manager</x:v>
      </x:c>
      <x:c r="D18" s="15" t="str">
        <x:v>Shadow-AI discovery claim</x:v>
      </x:c>
      <x:c r="E18" s="15" t="str">
        <x:v>Partially supported</x:v>
      </x:c>
      <x:c r="F18" s="15" t="str">
        <x:v>AI-007 is described as 'discovered' employee use and an immediate containment condition, but the portfolio does not show discovery telemetry, an extension inventory, DLP events, CASB/SSE results or a completed case record.</x:v>
      </x:c>
      <x:c r="G18" s="15" t="str">
        <x:v>Duckworks_AIA_AI-007_Unregistered_GenAI_Usage_v1.0.docx; Duckworks_AI_Asset_Inventory_v1.0.xlsx</x:v>
      </x:c>
      <x:c r="H18" s="15" t="str">
        <x:v>Because the project is synthetic, this can be a scenario fact—but interview wording must not imply empirical discovery evidence that does not exist.</x:v>
      </x:c>
      <x:c r="I18" s="15" t="str">
        <x:v>How was shadow AI discovered, how many tools/users were involved, and what evidence confirmed the exposure?</x:v>
      </x:c>
      <x:c r="J18" s="15" t="str">
        <x:v>Either label the event explicitly as a synthetic scenario trigger or add a worked synthetic discovery log/case.</x:v>
      </x:c>
      <x:c r="K18" s="15" t="str">
        <x:v>P1</x:v>
      </x:c>
      <x:c r="L18" s="15" t="str">
        <x:v>No</x:v>
      </x:c>
    </x:row>
    <x:row r="19">
      <x:c r="A19" s="15" t="str">
        <x:v>F-018</x:v>
      </x:c>
      <x:c r="B19" s="15" t="str">
        <x:v>Moderate</x:v>
      </x:c>
      <x:c r="C19" s="15" t="str">
        <x:v>Internal auditor; CISO</x:v>
      </x:c>
      <x:c r="D19" s="15" t="str">
        <x:v>Incident-history wording</x:v>
      </x:c>
      <x:c r="E19" s="15" t="str">
        <x:v>Unverifiable</x:v>
      </x:c>
      <x:c r="F19" s="15" t="str">
        <x:v>Several inventories state 'None recorded' for incident history despite the broader evidence boundary not showing operating monitoring records.</x:v>
      </x:c>
      <x:c r="G19" s="15" t="str">
        <x:v>Duckworks_AI_Asset_Inventory_v1.0.xlsx</x:v>
      </x:c>
      <x:c r="H19" s="15" t="str">
        <x:v>This can be read as evidence of absence rather than absence of a synthetic incident in the scenario.</x:v>
      </x:c>
      <x:c r="I19" s="15" t="str">
        <x:v>What monitoring source supports 'none recorded'?</x:v>
      </x:c>
      <x:c r="J19" s="15" t="str">
        <x:v>Use 'No synthetic incident included in baseline' unless an event register exists.</x:v>
      </x:c>
      <x:c r="K19" s="15" t="str">
        <x:v>P2</x:v>
      </x:c>
      <x:c r="L19" s="15" t="str">
        <x:v>No</x:v>
      </x:c>
    </x:row>
    <x:row r="20">
      <x:c r="A20" s="15" t="str">
        <x:v>F-019</x:v>
      </x:c>
      <x:c r="B20" s="15" t="str">
        <x:v>High</x:v>
      </x:c>
      <x:c r="C20" s="15" t="str">
        <x:v>Data protection specialist; Internal auditor</x:v>
      </x:c>
      <x:c r="D20" s="15" t="str">
        <x:v>DuckTalent DPIA is structurally strong but not completed</x:v>
      </x:c>
      <x:c r="E20" s="15" t="str">
        <x:v>Missing evidence</x:v>
      </x:c>
      <x:c r="F20" s="15" t="str">
        <x:v>The DuckTalent DPIA is Draft and leaves lawful basis, scale, exact data flows, provider/model, processing/storage locations, national employment context and other processing facts unresolved.</x:v>
      </x:c>
      <x:c r="G20" s="15" t="str">
        <x:v>Duckworks_GDPR_Data_Protection_Impact_Assessment_DuckTalent_v1.0.docx</x:v>
      </x:c>
      <x:c r="H20" s="15" t="str">
        <x:v>The document demonstrates DPIA methodology, but not a completed deployable privacy decision.</x:v>
      </x:c>
      <x:c r="I20" s="15" t="str">
        <x:v>What is the lawful basis, who is controller/processor for each processing step, where is data stored, and what is the retention schedule?</x:v>
      </x:c>
      <x:c r="J20" s="15" t="str">
        <x:v>Keep the 'Do not deploy' gate; add a completed synthetic data-flow/role/retention record if the portfolio wants to demonstrate execution rather than design.</x:v>
      </x:c>
      <x:c r="K20" s="15" t="str">
        <x:v>P1</x:v>
      </x:c>
      <x:c r="L20" s="15" t="str">
        <x:v>No</x:v>
      </x:c>
    </x:row>
    <x:row r="21">
      <x:c r="A21" s="15" t="str">
        <x:v>F-020</x:v>
      </x:c>
      <x:c r="B21" s="15" t="str">
        <x:v>High</x:v>
      </x:c>
      <x:c r="C21" s="15" t="str">
        <x:v>Data protection specialist; AI governance hiring manager</x:v>
      </x:c>
      <x:c r="D21" s="15" t="str">
        <x:v>Portfolio-wide DPIA screening evidence</x:v>
      </x:c>
      <x:c r="E21" s="15" t="str">
        <x:v>Missing evidence</x:v>
      </x:c>
      <x:c r="F21" s="15" t="str">
        <x:v>QuackBot and PondGPT are flagged as processing personal data, but the reviewed portfolio does not show a formal documented DPIA screening decision for each.</x:v>
      </x:c>
      <x:c r="G21" s="15" t="str">
        <x:v>Duckworks_AI_Asset_Inventory_v1.0.xlsx (AI-002, AI-006); Duckworks_GDPR_Data_Protection_Impact_Assessment_DuckTalent_v1.0.docx</x:v>
      </x:c>
      <x:c r="H21" s="15" t="str">
        <x:v>A mature privacy-by-design workflow should evidence the screening decision even when the conclusion is that a DPIA is not required.</x:v>
      </x:c>
      <x:c r="I21" s="15" t="str">
        <x:v>Where is the documented DPIA threshold screening for QuackBot and PondGPT?</x:v>
      </x:c>
      <x:c r="J21" s="15" t="str">
        <x:v>Add concise system-specific privacy/DPIA screening records and link them to ROPA/data-flow records.</x:v>
      </x:c>
      <x:c r="K21" s="15" t="str">
        <x:v>P1</x:v>
      </x:c>
      <x:c r="L21" s="15" t="str">
        <x:v>No</x:v>
      </x:c>
    </x:row>
    <x:row r="22">
      <x:c r="A22" s="15" t="str">
        <x:v>F-021</x:v>
      </x:c>
      <x:c r="B22" s="15" t="str">
        <x:v>High</x:v>
      </x:c>
      <x:c r="C22" s="15" t="str">
        <x:v>Data protection specialist; CISO; Internal auditor</x:v>
      </x:c>
      <x:c r="D22" s="15" t="str">
        <x:v>Third-party privacy evidence</x:v>
      </x:c>
      <x:c r="E22" s="15" t="str">
        <x:v>Missing evidence</x:v>
      </x:c>
      <x:c r="F22" s="15" t="str">
        <x:v>The DPA and vendor-contract artifacts are templates; the reviewed set does not show executed system-specific agreements, subprocessor evidence, transfer records, deletion configuration or supplier attestations.</x:v>
      </x:c>
      <x:c r="G22" s="15" t="str">
        <x:v>Duckworks_AI_Data_Processing_Agreement_Template_v1.0.docx; AI Vendor/Third-party artifacts; AIBOM</x:v>
      </x:c>
      <x:c r="H22" s="15" t="str">
        <x:v>Templates demonstrate control design, not supplier control operation.</x:v>
      </x:c>
      <x:c r="I22" s="15" t="str">
        <x:v>For the actual fictional vendor used by PondGPT, show the signed DPA schedule, subprocessors, training-use setting and deletion evidence.</x:v>
      </x:c>
      <x:c r="J22" s="15" t="str">
        <x:v>Create one completed synthetic vendor due-diligence and contract evidence pack, clearly marked simulated.</x:v>
      </x:c>
      <x:c r="K22" s="15" t="str">
        <x:v>P1</x:v>
      </x:c>
      <x:c r="L22" s="15" t="str">
        <x:v>No</x:v>
      </x:c>
    </x:row>
    <x:row r="23">
      <x:c r="A23" s="15" t="str">
        <x:v>F-022</x:v>
      </x:c>
      <x:c r="B23" s="15" t="str">
        <x:v>High</x:v>
      </x:c>
      <x:c r="C23" s="15" t="str">
        <x:v>Data protection specialist; AI product owner; Internal auditor</x:v>
      </x:c>
      <x:c r="D23" s="15" t="str">
        <x:v>Data governance completeness</x:v>
      </x:c>
      <x:c r="E23" s="15" t="str">
        <x:v>Missing evidence</x:v>
      </x:c>
      <x:c r="F23" s="15" t="str">
        <x:v>AIBOM/Data Management records contain many TBD fields for provenance, rights/license, retention, quality evidence and exact locations, including data used by FeatherForecast, WingInspect, DuckTalent and PondGPT.</x:v>
      </x:c>
      <x:c r="G23" s="15" t="str">
        <x:v>Duckworks_AI_Bill_of_Materials_Register_v1.0.xlsx (Data Assets); Duckworks_AI_Data_Management_Plan_v1.0.docx</x:v>
      </x:c>
      <x:c r="H23" s="15" t="str">
        <x:v>The plan is sophisticated, but the data inventory is not yet complete enough to demonstrate operational data governance.</x:v>
      </x:c>
      <x:c r="I23" s="15" t="str">
        <x:v>Pick one critical dataset and show provenance, lawful/authorized use, quality evidence, retention and deletion disposition.</x:v>
      </x:c>
      <x:c r="J23" s="15" t="str">
        <x:v>Complete one end-to-end synthetic data lineage/evidence example for a high-impact system.</x:v>
      </x:c>
      <x:c r="K23" s="15" t="str">
        <x:v>P1</x:v>
      </x:c>
      <x:c r="L23" s="15" t="str">
        <x:v>No</x:v>
      </x:c>
    </x:row>
    <x:row r="24">
      <x:c r="A24" s="15" t="str">
        <x:v>F-023</x:v>
      </x:c>
      <x:c r="B24" s="15" t="str">
        <x:v>Moderate</x:v>
      </x:c>
      <x:c r="C24" s="15" t="str">
        <x:v>Data protection specialist; CISO</x:v>
      </x:c>
      <x:c r="D24" s="15" t="str">
        <x:v>Worker-privacy boundary</x:v>
      </x:c>
      <x:c r="E24" s="15" t="str">
        <x:v>Unsupported assumption</x:v>
      </x:c>
      <x:c r="F24" s="15" t="str">
        <x:v>WingInspect assumes cameras capture products/components rather than workers, but that imaging-scope assumption remains Open High.</x:v>
      </x:c>
      <x:c r="G24" s="15" t="str">
        <x:v>Duckworks_Synthetic_AI_System_Inventory_v1.0.xlsx (ASM-028)</x:v>
      </x:c>
      <x:c r="H24" s="15" t="str">
        <x:v>Camera field of view and repurposing risk materially affect workplace privacy and surveillance analysis.</x:v>
      </x:c>
      <x:c r="I24" s="15" t="str">
        <x:v>How did you validate that workers are not captured or evaluated, and what prevents later repurposing?</x:v>
      </x:c>
      <x:c r="J24" s="15" t="str">
        <x:v>Add a synthetic camera-scope/privacy design record and use restrictions before treating the assumption as fact.</x:v>
      </x:c>
      <x:c r="K24" s="15" t="str">
        <x:v>P2</x:v>
      </x:c>
      <x:c r="L24" s="15" t="str">
        <x:v>No</x:v>
      </x:c>
    </x:row>
    <x:row r="25">
      <x:c r="A25" s="15" t="str">
        <x:v>F-024</x:v>
      </x:c>
      <x:c r="B25" s="15" t="str">
        <x:v>High</x:v>
      </x:c>
      <x:c r="C25" s="15" t="str">
        <x:v>AI governance hiring manager; Internal auditor; AI product owner</x:v>
      </x:c>
      <x:c r="D25" s="15" t="str">
        <x:v>Human oversight is mostly design intent</x:v>
      </x:c>
      <x:c r="E25" s="15" t="str">
        <x:v>Missing evidence</x:v>
      </x:c>
      <x:c r="F25" s="15" t="str">
        <x:v>The project repeatedly requires meaningful human review, override and stop authority, but there is little operating evidence showing reviewer competence, available time, source-information access, override behavior or automation-bias testing.</x:v>
      </x:c>
      <x:c r="G25" s="15" t="str">
        <x:v>Assumptions Register; Human Oversight/RACI/Policy artifacts; DuckTalent model documentation evidence gaps</x:v>
      </x:c>
      <x:c r="H25" s="15" t="str">
        <x:v>Interviewers will challenge 'human in the loop' claims aggressively because nominal review can be ineffective.</x:v>
      </x:c>
      <x:c r="I25" s="15" t="str">
        <x:v>How did you test that human reviewers were meaningfully involved rather than rubber-stamping AI outputs?</x:v>
      </x:c>
      <x:c r="J25" s="15" t="str">
        <x:v>Create one worked oversight effectiveness test with user tasks, override cases, time pressure and evidence.</x:v>
      </x:c>
      <x:c r="K25" s="15" t="str">
        <x:v>P1</x:v>
      </x:c>
      <x:c r="L25" s="15" t="str">
        <x:v>No</x:v>
      </x:c>
    </x:row>
    <x:row r="26">
      <x:c r="A26" s="15" t="str">
        <x:v>F-025</x:v>
      </x:c>
      <x:c r="B26" s="15" t="str">
        <x:v>Moderate</x:v>
      </x:c>
      <x:c r="C26" s="15" t="str">
        <x:v>Internal auditor; AI governance hiring manager</x:v>
      </x:c>
      <x:c r="D26" s="15" t="str">
        <x:v>Target residual-risk precision</x:v>
      </x:c>
      <x:c r="E26" s="15" t="str">
        <x:v>Unverifiable</x:v>
      </x:c>
      <x:c r="F26" s="15" t="str">
        <x:v>Target likelihood reductions such as 3 to 1 or 4 to 1 are presented numerically without empirical frequency data or calibrated evidence, even though the method recognizes ordinal judgment and false-precision risk.</x:v>
      </x:c>
      <x:c r="G26" s="15" t="str">
        <x:v>Duckworks_AI_Risk_Assessment_Report_v1.0.docx; Duckworks_AI_Risk_Assessment_Workbook_Draft_v0.9.xlsx</x:v>
      </x:c>
      <x:c r="H26" s="15" t="str">
        <x:v>Target scores can look engineered to land in a desired band rather than justified by demonstrable control effect.</x:v>
      </x:c>
      <x:c r="I26" s="15" t="str">
        <x:v>Why does this treatment reduce likelihood from Possible to Rare, and what evidence would be required to justify that change?</x:v>
      </x:c>
      <x:c r="J26" s="15" t="str">
        <x:v>Use anchored rationale and explicit evidence conditions for target bands; avoid presenting the product as predictive probability.</x:v>
      </x:c>
      <x:c r="K26" s="15" t="str">
        <x:v>P1</x:v>
      </x:c>
      <x:c r="L26" s="15" t="str">
        <x:v>No</x:v>
      </x:c>
    </x:row>
    <x:row r="27">
      <x:c r="A27" s="15" t="str">
        <x:v>F-026</x:v>
      </x:c>
      <x:c r="B27" s="15" t="str">
        <x:v>Moderate</x:v>
      </x:c>
      <x:c r="C27" s="15" t="str">
        <x:v>Internal auditor; CISO</x:v>
      </x:c>
      <x:c r="D27" s="15" t="str">
        <x:v>Severity reduction rationale</x:v>
      </x:c>
      <x:c r="E27" s="15" t="str">
        <x:v>Partially supported</x:v>
      </x:c>
      <x:c r="F27" s="15" t="str">
        <x:v>Where target controls reduce Severity/Impact, the causal mechanism is not always explicit. Preventive validation often reduces likelihood, not the consequence if failure still occurs.</x:v>
      </x:c>
      <x:c r="G27" s="15" t="str">
        <x:v>Duckworks_AI_Risk_Assessment_Report_v1.0.docx (scenario targets); risk methodology principle on severity</x:v>
      </x:c>
      <x:c r="H27" s="15" t="str">
        <x:v>A skeptical assessor will ask why a Severe consequence becomes Major if the same harmful event occurs.</x:v>
      </x:c>
      <x:c r="I27" s="15" t="str">
        <x:v>Which control actually limits the consequence after failure rather than merely reducing the chance of failure?</x:v>
      </x:c>
      <x:c r="J27" s="15" t="str">
        <x:v>Document causal rationale for every impact/severity downgrade; otherwise keep impact constant and reduce likelihood only.</x:v>
      </x:c>
      <x:c r="K27" s="15" t="str">
        <x:v>P2</x:v>
      </x:c>
      <x:c r="L27" s="15" t="str">
        <x:v>No</x:v>
      </x:c>
    </x:row>
    <x:row r="28">
      <x:c r="A28" s="15" t="str">
        <x:v>F-027</x:v>
      </x:c>
      <x:c r="B28" s="15" t="str">
        <x:v>Moderate</x:v>
      </x:c>
      <x:c r="C28" s="15" t="str">
        <x:v>AI governance hiring manager; AI product owner</x:v>
      </x:c>
      <x:c r="D28" s="15" t="str">
        <x:v>Risk/impact terminology collision</x:v>
      </x:c>
      <x:c r="E28" s="15" t="str">
        <x:v>Generic / potentially confusing</x:v>
      </x:c>
      <x:c r="F28" s="15" t="str">
        <x:v>The portfolio uses Moderate/High/Critical for both qualitative impact significance/impact indicators and enterprise residual-risk bands, even while stating they are different constructs.</x:v>
      </x:c>
      <x:c r="G28" s="15" t="str">
        <x:v>AI Impact Assessment Pack; Synthetic AI System Inventory; Risk Assessment Report</x:v>
      </x:c>
      <x:c r="H28" s="15" t="str">
        <x:v>Executive readers can easily conflate 'High impact' with 'High residual risk' and with legal 'high-risk AI system'.</x:v>
      </x:c>
      <x:c r="I28" s="15" t="str">
        <x:v>Explain the difference among High impact, High residual risk and EU AI Act high-risk without referring to the document.</x:v>
      </x:c>
      <x:c r="J28" s="15" t="str">
        <x:v>Maintain distinct field names and visual labels; use the spreadsheet crosswalk to test terminology consistency.</x:v>
      </x:c>
      <x:c r="K28" s="15" t="str">
        <x:v>P2</x:v>
      </x:c>
      <x:c r="L28" s="15" t="str">
        <x:v>No</x:v>
      </x:c>
    </x:row>
    <x:row r="29">
      <x:c r="A29" s="15" t="str">
        <x:v>F-028</x:v>
      </x:c>
      <x:c r="B29" s="15" t="str">
        <x:v>Moderate</x:v>
      </x:c>
      <x:c r="C29" s="15" t="str">
        <x:v>AI governance hiring manager; Internal auditor</x:v>
      </x:c>
      <x:c r="D29" s="15" t="str">
        <x:v>Framework mapping depth</x:v>
      </x:c>
      <x:c r="E29" s="15" t="str">
        <x:v>Generic</x:v>
      </x:c>
      <x:c r="F29" s="15" t="str">
        <x:v>Many control mappings reference broad NIST functions and generic ISO themes such as governance, lifecycle, access control or supplier security rather than precise, evidence-oriented crosswalks.</x:v>
      </x:c>
      <x:c r="G29" s="15" t="str">
        <x:v>Duckworks_AI_Control_Library_v1.0.xlsx; AI Governance Policy</x:v>
      </x:c>
      <x:c r="H29" s="15" t="str">
        <x:v>The mappings are appropriately cautious, but they demonstrate framework awareness more strongly than implementation competence.</x:v>
      </x:c>
      <x:c r="I29" s="15" t="str">
        <x:v>Show how one Duckworks control maps to an external requirement/guidance element and to existing enterprise evidence without claiming compliance.</x:v>
      </x:c>
      <x:c r="J29" s="15" t="str">
        <x:v>Add a controlled integration crosswalk that maps internal controls to NIST functions and licensed/authorized ISO references at the permitted level.</x:v>
      </x:c>
      <x:c r="K29" s="15" t="str">
        <x:v>P2</x:v>
      </x:c>
      <x:c r="L29" s="15" t="str">
        <x:v>No</x:v>
      </x:c>
    </x:row>
    <x:row r="30">
      <x:c r="A30" s="15" t="str">
        <x:v>F-029</x:v>
      </x:c>
      <x:c r="B30" s="15" t="str">
        <x:v>Moderate</x:v>
      </x:c>
      <x:c r="C30" s="15" t="str">
        <x:v>AI governance hiring manager; CISO; Internal auditor</x:v>
      </x:c>
      <x:c r="D30" s="15" t="str">
        <x:v>ISO/IEC 27001 integration</x:v>
      </x:c>
      <x:c r="E30" s="15" t="str">
        <x:v>Generic</x:v>
      </x:c>
      <x:c r="F30" s="15" t="str">
        <x:v>ISO/IEC 27001 is referenced throughout, but the reviewed portfolio does not clearly demonstrate how existing ISMS controls, control owners and evidence are reused or extended for AI rather than duplicated.</x:v>
      </x:c>
      <x:c r="G30" s="15" t="str">
        <x:v>AI Control Library; AI Governance Policy; Data Management Plan</x:v>
      </x:c>
      <x:c r="H30" s="15" t="str">
        <x:v>The project objective is integration with existing security governance; generic 'access control/logging/supplier' mappings are not enough to prove practical integration.</x:v>
      </x:c>
      <x:c r="I30" s="15" t="str">
        <x:v>Which existing ISO 27001 control/evidence would you reuse for PondGPT, and which AI-specific extension would you add?</x:v>
      </x:c>
      <x:c r="J30" s="15" t="str">
        <x:v>Create an ISMS-to-AI evidence reuse matrix using only authorized standard references.</x:v>
      </x:c>
      <x:c r="K30" s="15" t="str">
        <x:v>P2</x:v>
      </x:c>
      <x:c r="L30" s="15" t="str">
        <x:v>No</x:v>
      </x:c>
    </x:row>
    <x:row r="31">
      <x:c r="A31" s="15" t="str">
        <x:v>F-030</x:v>
      </x:c>
      <x:c r="B31" s="15" t="str">
        <x:v>Moderate</x:v>
      </x:c>
      <x:c r="C31" s="15" t="str">
        <x:v>AI governance hiring manager</x:v>
      </x:c>
      <x:c r="D31" s="15" t="str">
        <x:v>ISO/IEC 42001 demonstrability</x:v>
      </x:c>
      <x:c r="E31" s="15" t="str">
        <x:v>Partially supported</x:v>
      </x:c>
      <x:c r="F31" s="15" t="str">
        <x:v>The portfolio correctly avoids a conformity claim, but its ISO/IEC 42001 references are mostly public-description-level themes, which limits how much clause-level implementation expertise the artifacts alone can prove.</x:v>
      </x:c>
      <x:c r="G31" s="15" t="str">
        <x:v>Public Frameworks register; AI Governance Policy; Control Library</x:v>
      </x:c>
      <x:c r="H31" s="15" t="str">
        <x:v>A hiring manager may ask whether the candidate has actually worked through the management-system requirements rather than name-checking the standard.</x:v>
      </x:c>
      <x:c r="I31" s="15" t="str">
        <x:v>Which AIMS management-system mechanisms are already represented here, and where would you need licensed standard text before making a clause-level claim?</x:v>
      </x:c>
      <x:c r="J31" s="15" t="str">
        <x:v>Prepare an interview explanation of the evidence boundary; only add clause-level mapping where authorized access permits it.</x:v>
      </x:c>
      <x:c r="K31" s="15" t="str">
        <x:v>P2</x:v>
      </x:c>
      <x:c r="L31" s="15" t="str">
        <x:v>No</x:v>
      </x:c>
    </x:row>
    <x:row r="32">
      <x:c r="A32" s="15" t="str">
        <x:v>F-031</x:v>
      </x:c>
      <x:c r="B32" s="15" t="str">
        <x:v>High</x:v>
      </x:c>
      <x:c r="C32" s="15" t="str">
        <x:v>AI governance hiring manager; Internal auditor; AI product owner</x:v>
      </x:c>
      <x:c r="D32" s="15" t="str">
        <x:v>Document sprawl / authoritative record</x:v>
      </x:c>
      <x:c r="E32" s="15" t="str">
        <x:v>Inconsistent</x:v>
      </x:c>
      <x:c r="F32" s="15" t="str">
        <x:v>There are multiple inventories (AI System Inventory, Risk Assessed Inventory, AI Asset Inventory, Synthetic AI System Inventory, AIBOM) plus multiple risk/impact artifacts with overlapping facts, but no visible master data ownership/supersession matrix.</x:v>
      </x:c>
      <x:c r="G32" s="15" t="str">
        <x:v>Multiple inventory and assessment artifacts</x:v>
      </x:c>
      <x:c r="H32" s="15" t="str">
        <x:v>Parallel sources of truth create exactly the inconsistency already visible in owners, vendors, lifecycle labels and scores.</x:v>
      </x:c>
      <x:c r="I32" s="15" t="str">
        <x:v>Which artifact is the system of record for ownership, vendor, lifecycle, risk and evidence, and how are downstream documents synchronized?</x:v>
      </x:c>
      <x:c r="J32" s="15" t="str">
        <x:v>Define authoritative fields by source, supersession rules and update propagation.</x:v>
      </x:c>
      <x:c r="K32" s="15" t="str">
        <x:v>P0</x:v>
      </x:c>
      <x:c r="L32" s="15" t="str">
        <x:v>Yes</x:v>
      </x:c>
    </x:row>
    <x:row r="33">
      <x:c r="A33" s="15" t="str">
        <x:v>F-032</x:v>
      </x:c>
      <x:c r="B33" s="15" t="str">
        <x:v>Moderate</x:v>
      </x:c>
      <x:c r="C33" s="15" t="str">
        <x:v>AI governance hiring manager; Data protection specialist; AI product owner</x:v>
      </x:c>
      <x:c r="D33" s="15" t="str">
        <x:v>Assessment duplication</x:v>
      </x:c>
      <x:c r="E33" s="15" t="str">
        <x:v>Generic / over-engineered</x:v>
      </x:c>
      <x:c r="F33" s="15" t="str">
        <x:v>DuckTalent has system AIA, a separate Algorithmic Impact Assessment, Ethical Impact Assessment, voluntary FRIA, DPIA, HUDERIA pack and model documentation, many reaching the same 'Do not deploy' conclusion.</x:v>
      </x:c>
      <x:c r="G33" s="15" t="str">
        <x:v>DuckTalent AIA/Algorithmic AIA/Ethical AIA/FRIA/DPIA/HUDERIA/model documentation files</x:v>
      </x:c>
      <x:c r="H33" s="15" t="str">
        <x:v>The documents are individually careful, but the portfolio can look form-heavy unless it clearly shows what unique decision each artifact supports and how evidence is reused.</x:v>
      </x:c>
      <x:c r="I33" s="15" t="str">
        <x:v>Why did DuckTalent need all of these assessments? What decision would change if one were removed?</x:v>
      </x:c>
      <x:c r="J33" s="15" t="str">
        <x:v>Build an assessment-purpose/evidence-reuse map; avoid duplicating the same narrative in interview explanations.</x:v>
      </x:c>
      <x:c r="K33" s="15" t="str">
        <x:v>P2</x:v>
      </x:c>
      <x:c r="L33" s="15" t="str">
        <x:v>No</x:v>
      </x:c>
    </x:row>
    <x:row r="34">
      <x:c r="A34" s="15" t="str">
        <x:v>F-033</x:v>
      </x:c>
      <x:c r="B34" s="15" t="str">
        <x:v>Moderate</x:v>
      </x:c>
      <x:c r="C34" s="15" t="str">
        <x:v>AI governance hiring manager; Internal auditor</x:v>
      </x:c>
      <x:c r="D34" s="15" t="str">
        <x:v>Design-heavy / operation-light portfolio</x:v>
      </x:c>
      <x:c r="E34" s="15" t="str">
        <x:v>Missing evidence</x:v>
      </x:c>
      <x:c r="F34" s="15" t="str">
        <x:v>The portfolio contains many polished policies, templates, standards, playbooks and registers, but comparatively few completed operating records such as approvals, control executions, security tests, monitoring runs, change tickets or audit workpapers.</x:v>
      </x:c>
      <x:c r="G34" s="15" t="str">
        <x:v>Required Deliverables register; Control Library status notes; Lifecycle SOP; multiple templates</x:v>
      </x:c>
      <x:c r="H34" s="15" t="str">
        <x:v>A hiring manager may infer document generation skill rather than operating governance experience.</x:v>
      </x:c>
      <x:c r="I34" s="15" t="str">
        <x:v>Show me one governance decision from intake through evidence, testing, approval, monitoring and reassessment—not another template.</x:v>
      </x:c>
      <x:c r="J34" s="15" t="str">
        <x:v>Add a small number of worked synthetic execution records rather than more policy documents.</x:v>
      </x:c>
      <x:c r="K34" s="15" t="str">
        <x:v>P0</x:v>
      </x:c>
      <x:c r="L34" s="15" t="str">
        <x:v>Yes</x:v>
      </x:c>
    </x:row>
    <x:row r="35">
      <x:c r="A35" s="15" t="str">
        <x:v>F-034</x:v>
      </x:c>
      <x:c r="B35" s="15" t="str">
        <x:v>High</x:v>
      </x:c>
      <x:c r="C35" s="15" t="str">
        <x:v>AI product owner; AI governance hiring manager</x:v>
      </x:c>
      <x:c r="D35" s="15" t="str">
        <x:v>Business value evidence</x:v>
      </x:c>
      <x:c r="E35" s="15" t="str">
        <x:v>Missing evidence</x:v>
      </x:c>
      <x:c r="F35" s="15" t="str">
        <x:v>Business use cases intentionally avoid invented ROI, but most benefits remain hypotheses with baselines TBD and no quantified target, cost envelope, adoption data or benefit-realization decision rule.</x:v>
      </x:c>
      <x:c r="G35" s="15" t="str">
        <x:v>Duckworks_AI_Business_Use_Case_Portfolio_v1.0.docx; AI Governance Business Case</x:v>
      </x:c>
      <x:c r="H35" s="15" t="str">
        <x:v>This makes the portfolio governance-rich but product-poor. A product owner cannot compare risk-adjusted value or decide whether controls are proportionate to expected benefit.</x:v>
      </x:c>
      <x:c r="I35" s="15" t="str">
        <x:v>What measurable business outcome justifies continuing this pilot, and what result would cause you to stop it even if it is compliant?</x:v>
      </x:c>
      <x:c r="J35" s="15" t="str">
        <x:v>Add synthetic baselines/targets only where explicitly designated as assumptions, or retain TBD but show a benefit-validation plan and decision thresholds.</x:v>
      </x:c>
      <x:c r="K35" s="15" t="str">
        <x:v>P1</x:v>
      </x:c>
      <x:c r="L35" s="15" t="str">
        <x:v>No</x:v>
      </x:c>
    </x:row>
    <x:row r="36">
      <x:c r="A36" s="15" t="str">
        <x:v>F-035</x:v>
      </x:c>
      <x:c r="B36" s="15" t="str">
        <x:v>Moderate</x:v>
      </x:c>
      <x:c r="C36" s="15" t="str">
        <x:v>AI product owner; CISO; Internal auditor</x:v>
      </x:c>
      <x:c r="D36" s="15" t="str">
        <x:v>Monitoring metrics without thresholds</x:v>
      </x:c>
      <x:c r="E36" s="15" t="str">
        <x:v>Generic</x:v>
      </x:c>
      <x:c r="F36" s="15" t="str">
        <x:v>The portfolio lists useful KPIs/KRIs (MAPE, override rate, false-negative rate, prompt-injection events, DLP events, complaints), but many lack definitions, baselines, thresholds, alert windows and escalation logic.</x:v>
      </x:c>
      <x:c r="G36" s="15" t="str">
        <x:v>AI Asset Inventory; Business Use Case Portfolio; Control Library; monitoring requirements</x:v>
      </x:c>
      <x:c r="H36" s="15" t="str">
        <x:v>A metric without a decision threshold is descriptive rather than a control.</x:v>
      </x:c>
      <x:c r="I36" s="15" t="str">
        <x:v>What threshold causes WingInspect to stop, who receives the alert, and over what sample window?</x:v>
      </x:c>
      <x:c r="J36" s="15" t="str">
        <x:v>Define metric dictionary, thresholds, observation windows, owner, data source and action for at least one system.</x:v>
      </x:c>
      <x:c r="K36" s="15" t="str">
        <x:v>P1</x:v>
      </x:c>
      <x:c r="L36" s="15" t="str">
        <x:v>No</x:v>
      </x:c>
    </x:row>
    <x:row r="37">
      <x:c r="A37" s="15" t="str">
        <x:v>F-036</x:v>
      </x:c>
      <x:c r="B37" s="15" t="str">
        <x:v>High</x:v>
      </x:c>
      <x:c r="C37" s="15" t="str">
        <x:v>AI product owner; Internal auditor</x:v>
      </x:c>
      <x:c r="D37" s="15" t="str">
        <x:v>FeatherForecast production decision</x:v>
      </x:c>
      <x:c r="E37" s="15" t="str">
        <x:v>Partially supported</x:v>
      </x:c>
      <x:c r="F37" s="15" t="str">
        <x:v>FeatherForecast is the portfolio's 'mature' production example, yet the reviewed files do not show the operational/business evidence that would justify the approved state beyond narrative descriptions of monitoring and controls.</x:v>
      </x:c>
      <x:c r="G37" s="15" t="str">
        <x:v>AI Asset Inventory (AI-003); FeatherForecast AIA; Business Use Case Portfolio</x:v>
      </x:c>
      <x:c r="H37" s="15" t="str">
        <x:v>The one production use case should be the strongest end-to-end evidence exemplar. Currently it is not.</x:v>
      </x:c>
      <x:c r="I37" s="15" t="str">
        <x:v>Show the last monthly drift report, last manager override sample, back-test result and approval record for FeatherForecast.</x:v>
      </x:c>
      <x:c r="J37" s="15" t="str">
        <x:v>Make FeatherForecast the worked operating-evidence case with synthetic artifacts tied to version 2.3.1.</x:v>
      </x:c>
      <x:c r="K37" s="15" t="str">
        <x:v>P0</x:v>
      </x:c>
      <x:c r="L37" s="15" t="str">
        <x:v>Yes</x:v>
      </x:c>
    </x:row>
    <x:row r="38">
      <x:c r="A38" s="15" t="str">
        <x:v>F-037</x:v>
      </x:c>
      <x:c r="B38" s="15" t="str">
        <x:v>Moderate</x:v>
      </x:c>
      <x:c r="C38" s="15" t="str">
        <x:v>AI governance hiring manager; Internal auditor</x:v>
      </x:c>
      <x:c r="D38" s="15" t="str">
        <x:v>Operating-model adoption</x:v>
      </x:c>
      <x:c r="E38" s="15" t="str">
        <x:v>Unverifiable</x:v>
      </x:c>
      <x:c r="F38" s="15" t="str">
        <x:v>The RACI and lifecycle SOP are detailed, but the older master deliverables register still showed the operating model/RACI as planned and the SOP itself is described as draft/simulated approval.</x:v>
      </x:c>
      <x:c r="G38" s="15" t="str">
        <x:v>Required Deliverables register; Duckworks_AI_RACI_Chart_v1.0.xlsx; Duckworks_AI_Governance_Lifecycle_SOP_v1.0.docx</x:v>
      </x:c>
      <x:c r="H38" s="15" t="str">
        <x:v>A reviewer will ask whether the governance model is designed, approved, or actually operating. Those are different states.</x:v>
      </x:c>
      <x:c r="I38" s="15" t="str">
        <x:v>When did the governance model become effective, and where is the approval/effective-date record?</x:v>
      </x:c>
      <x:c r="J38" s="15" t="str">
        <x:v>Use explicit status taxonomy: Draft design / Simulated approved / Operating; update the register accordingly.</x:v>
      </x:c>
      <x:c r="K38" s="15" t="str">
        <x:v>P1</x:v>
      </x:c>
      <x:c r="L38" s="15" t="str">
        <x:v>No</x:v>
      </x:c>
    </x:row>
    <x:row r="39">
      <x:c r="A39" s="15" t="str">
        <x:v>F-038</x:v>
      </x:c>
      <x:c r="B39" s="15" t="str">
        <x:v>High</x:v>
      </x:c>
      <x:c r="C39" s="15" t="str">
        <x:v>AI governance hiring manager; Internal auditor</x:v>
      </x:c>
      <x:c r="D39" s="15" t="str">
        <x:v>Risk appetite authority</x:v>
      </x:c>
      <x:c r="E39" s="15" t="str">
        <x:v>Unsupported assumption</x:v>
      </x:c>
      <x:c r="F39" s="15" t="str">
        <x:v>Critical residual risk escalation/acceptance rules are used throughout methodology, RACI and gates, while ASM-023 states the specific risk-appetite threshold is still Open Critical and may be refined.</x:v>
      </x:c>
      <x:c r="G39" s="15" t="str">
        <x:v>Assumptions Register (ASM-023); Risk Methodology; RACI</x:v>
      </x:c>
      <x:c r="H39" s="15" t="str">
        <x:v>Delegated approval authority should not rest on an unapproved appetite assumption.</x:v>
      </x:c>
      <x:c r="I39" s="15" t="str">
        <x:v>Who approved the critical-risk appetite and exceptional acceptance authority?</x:v>
      </x:c>
      <x:c r="J39" s="15" t="str">
        <x:v>Either mark the rules as proposed governance design or add a simulated executive risk-appetite approval record.</x:v>
      </x:c>
      <x:c r="K39" s="15" t="str">
        <x:v>P0</x:v>
      </x:c>
      <x:c r="L39" s="15" t="str">
        <x:v>Yes</x:v>
      </x:c>
    </x:row>
    <x:row r="40">
      <x:c r="A40" s="15" t="str">
        <x:v>F-039</x:v>
      </x:c>
      <x:c r="B40" s="15" t="str">
        <x:v>High</x:v>
      </x:c>
      <x:c r="C40" s="15" t="str">
        <x:v>Internal auditor; AI governance hiring manager</x:v>
      </x:c>
      <x:c r="D40" s="15" t="str">
        <x:v>Circular validation</x:v>
      </x:c>
      <x:c r="E40" s="15" t="str">
        <x:v>Weak support</x:v>
      </x:c>
      <x:c r="F40" s="15" t="str">
        <x:v>Some assumptions are marked Validated using other project narratives as evidence—for example governance maturity via the business scenario and evidence maturity via the executive case study—rather than independent operational evidence.</x:v>
      </x:c>
      <x:c r="G40" s="15" t="str">
        <x:v>Duckworks_Project_Assumptions_Register_v1.0.docx (ASM-003, ASM-021)</x:v>
      </x:c>
      <x:c r="H40" s="15" t="str">
        <x:v>In a synthetic portfolio this is acceptable as scenario construction, but it is not validation in the audit sense.</x:v>
      </x:c>
      <x:c r="I40" s="15" t="str">
        <x:v>What do you mean by 'validated' here: validated by external/operating evidence or fixed as a scenario premise?</x:v>
      </x:c>
      <x:c r="J40" s="15" t="str">
        <x:v>Split statuses into Scenario premise / Evidenced / Open / Superseded to avoid audit-language ambiguity.</x:v>
      </x:c>
      <x:c r="K40" s="15" t="str">
        <x:v>P1</x:v>
      </x:c>
      <x:c r="L40" s="15" t="str">
        <x:v>No</x:v>
      </x:c>
    </x:row>
    <x:row r="41">
      <x:c r="A41" s="15" t="str">
        <x:v>F-040</x:v>
      </x:c>
      <x:c r="B41" s="15" t="str">
        <x:v>Moderate</x:v>
      </x:c>
      <x:c r="C41" s="15" t="str">
        <x:v>Data protection specialist; AI governance hiring manager; Internal auditor</x:v>
      </x:c>
      <x:c r="D41" s="15" t="str">
        <x:v>Legal-source verification audit trail</x:v>
      </x:c>
      <x:c r="E41" s="15" t="str">
        <x:v>Unverifiable</x:v>
      </x:c>
      <x:c r="F41" s="15" t="str">
        <x:v>The source register records a 'last verified' date and many current-sensitive legal conclusions, but the reviewed artifacts do not show who performed the verification, the source snapshot/hash, or a formal legal approval/sign-off.</x:v>
      </x:c>
      <x:c r="G41" s="15" t="str">
        <x:v>Duckworks_Public_Frameworks_Legislation_Links.md; Regulatory and Framework Research Report</x:v>
      </x:c>
      <x:c r="H41" s="15" t="str">
        <x:v>The legal analysis is cautiously worded, but current law/timing claims are interview-sensitive and need a defensible source trail.</x:v>
      </x:c>
      <x:c r="I41" s="15" t="str">
        <x:v>Who verified the consolidated legal text, when, and how do you know the cited version has not been superseded?</x:v>
      </x:c>
      <x:c r="J41" s="15" t="str">
        <x:v>Add verification owner/date/source identifier and explicitly label legal conclusions as research findings pending counsel confirmation.</x:v>
      </x:c>
      <x:c r="K41" s="15" t="str">
        <x:v>P1</x:v>
      </x:c>
      <x:c r="L41" s="15" t="str">
        <x:v>No</x:v>
      </x:c>
    </x:row>
    <x:row r="42">
      <x:c r="A42" s="15" t="str">
        <x:v>F-041</x:v>
      </x:c>
      <x:c r="B42" s="15" t="str">
        <x:v>Moderate</x:v>
      </x:c>
      <x:c r="C42" s="15" t="str">
        <x:v>AI governance hiring manager; Data protection specialist</x:v>
      </x:c>
      <x:c r="D42" s="15" t="str">
        <x:v>Current-sensitive legal claims</x:v>
      </x:c>
      <x:c r="E42" s="15" t="str">
        <x:v>Requires external verification</x:v>
      </x:c>
      <x:c r="F42" s="15" t="str">
        <x:v>The project makes detailed claims about EU AI Act timing, Article 50, Annex III, Article 27 and other legal layers. The files provide primary-source references, but those claims remain time-sensitive and should not be defended from memory alone.</x:v>
      </x:c>
      <x:c r="G42" s="15" t="str">
        <x:v>Regulatory and Framework Research Report; Public Frameworks register; FRIA/DPIA</x:v>
      </x:c>
      <x:c r="H42" s="15" t="str">
        <x:v>A single outdated amendment/application date can undermine confidence in the rest of the portfolio.</x:v>
      </x:c>
      <x:c r="I42" s="15" t="str">
        <x:v>Which legal conclusions are mandatory requirements now, which are future/conditional, and which are only recommended governance practice?</x:v>
      </x:c>
      <x:c r="J42" s="15" t="str">
        <x:v>Before publication/interview, re-verify current primary sources and keep a dated legal verification log.</x:v>
      </x:c>
      <x:c r="K42" s="15" t="str">
        <x:v>P1</x:v>
      </x:c>
      <x:c r="L42" s="15" t="str">
        <x:v>No</x:v>
      </x:c>
    </x:row>
    <x:row r="43">
      <x:c r="A43" s="15" t="str">
        <x:v>F-042</x:v>
      </x:c>
      <x:c r="B43" s="15" t="str">
        <x:v>Moderate</x:v>
      </x:c>
      <x:c r="C43" s="15" t="str">
        <x:v>AI governance hiring manager</x:v>
      </x:c>
      <x:c r="D43" s="15" t="str">
        <x:v>Professional presentation risk</x:v>
      </x:c>
      <x:c r="E43" s="15" t="str">
        <x:v>Presentation concern</x:v>
      </x:c>
      <x:c r="F43" s="15" t="str">
        <x:v>The duck-themed names are memorable and clearly fictional, but the density of puns across executive roles, systems and controls may distract some senior hiring managers from the governance substance.</x:v>
      </x:c>
      <x:c r="G43" s="15" t="str">
        <x:v>Project-wide naming convention</x:v>
      </x:c>
      <x:c r="H43" s="15" t="str">
        <x:v>This is not a control defect, but portfolio tone affects credibility in senior GRC/AI governance interviews.</x:v>
      </x:c>
      <x:c r="I43" s="15" t="str">
        <x:v>Why did you choose a whimsical fictional scenario, and how does it preserve professional realism?</x:v>
      </x:c>
      <x:c r="J43" s="15" t="str">
        <x:v>Be prepared to explain that names enforce confidentiality/synthetic-data boundaries; keep the executive summary visually sober.</x:v>
      </x:c>
      <x:c r="K43" s="15" t="str">
        <x:v>P3</x:v>
      </x:c>
      <x:c r="L43" s="15" t="str">
        <x:v>No</x:v>
      </x:c>
    </x:row>
    <x:row r="44">
      <x:c r="A44" s="15" t="str">
        <x:v>F-043</x:v>
      </x:c>
      <x:c r="B44" s="15" t="str">
        <x:v>Moderate</x:v>
      </x:c>
      <x:c r="C44" s="15" t="str">
        <x:v>Internal auditor; AI governance hiring manager</x:v>
      </x:c>
      <x:c r="D44" s="15" t="str">
        <x:v>Independent assurance not demonstrated</x:v>
      </x:c>
      <x:c r="E44" s="15" t="str">
        <x:v>Missing evidence</x:v>
      </x:c>
      <x:c r="F44" s="15" t="str">
        <x:v>Internal Audit independence is well designed, but the Required Deliverables register places the AI Assurance &amp; Internal Audit Program in a future phase and the reviewed set does not contain completed control-test workpapers.</x:v>
      </x:c>
      <x:c r="G44" s="15" t="str">
        <x:v>Required Deliverables register (DEL-23); Acceptance Criteria (AC-17); Control Library testing procedures</x:v>
      </x:c>
      <x:c r="H44" s="15" t="str">
        <x:v>Auditability is designed but not proven through independent testing.</x:v>
      </x:c>
      <x:c r="I44" s="15" t="str">
        <x:v>Show me a completed test of one AI control, including population, sample, evidence, exceptions and conclusion.</x:v>
      </x:c>
      <x:c r="J44" s="15" t="str">
        <x:v>Add one synthetic independent assurance workpaper after controls are reconciled; retain IA independence.</x:v>
      </x:c>
      <x:c r="K44" s="15" t="str">
        <x:v>P2</x:v>
      </x:c>
      <x:c r="L44" s="15" t="str">
        <x:v>No</x:v>
      </x:c>
    </x:row>
    <x:row r="45">
      <x:c r="A45" s="15" t="str">
        <x:v>F-044</x:v>
      </x:c>
      <x:c r="B45" s="15" t="str">
        <x:v>High</x:v>
      </x:c>
      <x:c r="C45" s="15" t="str">
        <x:v>AI governance hiring manager; AI product owner; Internal auditor</x:v>
      </x:c>
      <x:c r="D45" s="15" t="str">
        <x:v>Executive reporting operating evidence</x:v>
      </x:c>
      <x:c r="E45" s="15" t="str">
        <x:v>Missing evidence</x:v>
      </x:c>
      <x:c r="F45" s="15" t="str">
        <x:v>Dashboards summarize portfolio risk/control counts, but there is no reviewed evidence of a recurring management-reporting cadence, committee pack, minutes, decisions or action aging driven by those dashboards.</x:v>
      </x:c>
      <x:c r="G45" s="15" t="str">
        <x:v>Control Library dashboard; inventories; AI Governance Policy reporting requirements</x:v>
      </x:c>
      <x:c r="H45" s="15" t="str">
        <x:v>A dashboard can be static portfolio decoration unless it drives decisions.</x:v>
      </x:c>
      <x:c r="I45" s="15" t="str">
        <x:v>Show the last governance committee pack, the decision it drove, and an overdue action that was escalated.</x:v>
      </x:c>
      <x:c r="J45" s="15" t="str">
        <x:v>Create a synthetic committee pack/minutes/action log using the reconciled source data.</x:v>
      </x:c>
      <x:c r="K45" s="15" t="str">
        <x:v>P1</x:v>
      </x:c>
      <x:c r="L45" s="15" t="str">
        <x:v>No</x:v>
      </x:c>
    </x:row>
    <x:row r="46">
      <x:c r="A46" s="15" t="str">
        <x:v>F-045</x:v>
      </x:c>
      <x:c r="B46" s="15" t="str">
        <x:v>Moderate</x:v>
      </x:c>
      <x:c r="C46" s="15" t="str">
        <x:v>CISO; Internal auditor</x:v>
      </x:c>
      <x:c r="D46" s="15" t="str">
        <x:v>Incident response operation</x:v>
      </x:c>
      <x:c r="E46" s="15" t="str">
        <x:v>Missing evidence</x:v>
      </x:c>
      <x:c r="F46" s="15" t="str">
        <x:v>AI incident controls are marked partially implemented largely because runbooks/playbooks exist, but no tabletop results, measured response times, evidence-preservation exercise or restart decision sample is shown.</x:v>
      </x:c>
      <x:c r="G46" s="15" t="str">
        <x:v>AI Control Library (AI-INC-01); operational playbooks/runbooks</x:v>
      </x:c>
      <x:c r="H46" s="15" t="str">
        <x:v>Documented incident procedures are design evidence, not operating-effectiveness evidence.</x:v>
      </x:c>
      <x:c r="I46" s="15" t="str">
        <x:v>When did you last exercise an AI incident and what control failed during the tabletop?</x:v>
      </x:c>
      <x:c r="J46" s="15" t="str">
        <x:v>Add a synthetic tabletop record with injects, observations, gaps, actions and retest.</x:v>
      </x:c>
      <x:c r="K46" s="15" t="str">
        <x:v>P2</x:v>
      </x:c>
      <x:c r="L46" s="15" t="str">
        <x:v>No</x:v>
      </x:c>
    </x:row>
    <x:row r="47">
      <x:c r="A47" s="15" t="str">
        <x:v>F-046</x:v>
      </x:c>
      <x:c r="B47" s="15" t="str">
        <x:v>Moderate</x:v>
      </x:c>
      <x:c r="C47" s="15" t="str">
        <x:v>CISO; Data protection specialist; Internal auditor</x:v>
      </x:c>
      <x:c r="D47" s="15" t="str">
        <x:v>Third-party control maturity</x:v>
      </x:c>
      <x:c r="E47" s="15" t="str">
        <x:v>Overstated status</x:v>
      </x:c>
      <x:c r="F47" s="15" t="str">
        <x:v>AI supplier due diligence is marked Partially Implemented because templates exist, while the status note admits system-specific operating evidence is incomplete.</x:v>
      </x:c>
      <x:c r="G47" s="15" t="str">
        <x:v>AI Control Library (AI-TPR-01); DPA/Vendor templates</x:v>
      </x:c>
      <x:c r="H47" s="15" t="str">
        <x:v>Template availability should not be conflated with operation of the vendor-governance control.</x:v>
      </x:c>
      <x:c r="I47" s="15" t="str">
        <x:v>Which supplier has actually passed the due-diligence control, and what evidence expired or remains open?</x:v>
      </x:c>
      <x:c r="J47" s="15" t="str">
        <x:v>Use separate Design Status and Operating Status fields or reserve Partially Implemented for actual executions.</x:v>
      </x:c>
      <x:c r="K47" s="15" t="str">
        <x:v>P1</x:v>
      </x:c>
      <x:c r="L47" s="15" t="str">
        <x:v>No</x:v>
      </x:c>
    </x:row>
    <x:row r="48">
      <x:c r="A48" s="15" t="str">
        <x:v>F-047</x:v>
      </x:c>
      <x:c r="B48" s="15" t="str">
        <x:v>High</x:v>
      </x:c>
      <x:c r="C48" s="15" t="str">
        <x:v>Internal auditor; AI governance hiring manager</x:v>
      </x:c>
      <x:c r="D48" s="15" t="str">
        <x:v>Control-status taxonomy</x:v>
      </x:c>
      <x:c r="E48" s="15" t="str">
        <x:v>Inconsistent</x:v>
      </x:c>
      <x:c r="F48" s="15" t="str">
        <x:v>Implementation labels such as Implemented and Partially Implemented sometimes reflect existence of policies/templates or baseline assumptions rather than demonstrated operating effectiveness, despite the methodology defining Effective as implemented and operating with repeatable evidence.</x:v>
      </x:c>
      <x:c r="G48" s="15" t="str">
        <x:v>AI Control Library status notes; Risk Methodology control-effectiveness definitions</x:v>
      </x:c>
      <x:c r="H48" s="15" t="str">
        <x:v>This conflates control design, implementation, execution and effectiveness—the exact distinctions an auditor will test.</x:v>
      </x:c>
      <x:c r="I48" s="15" t="str">
        <x:v>What is the difference in this portfolio between 'implemented', 'operating', 'effective' and 'validated'?</x:v>
      </x:c>
      <x:c r="J48" s="15" t="str">
        <x:v>Separate Design, Implementation, Operating Evidence and Effectiveness fields.</x:v>
      </x:c>
      <x:c r="K48" s="15" t="str">
        <x:v>P0</x:v>
      </x:c>
      <x:c r="L48" s="15" t="str">
        <x:v>Yes</x:v>
      </x:c>
    </x:row>
    <x:row r="49">
      <x:c r="A49" s="15" t="str">
        <x:v>F-048</x:v>
      </x:c>
      <x:c r="B49" s="15" t="str">
        <x:v>High</x:v>
      </x:c>
      <x:c r="C49" s="15" t="str">
        <x:v>Internal auditor; AI governance hiring manager</x:v>
      </x:c>
      <x:c r="D49" s="15" t="str">
        <x:v>Risk-report wording overstates operation</x:v>
      </x:c>
      <x:c r="E49" s="15" t="str">
        <x:v>Overstated claim</x:v>
      </x:c>
      <x:c r="F49" s="15" t="str">
        <x:v>The Risk Assessment Report says it distinguishes 'controls currently operating' from target controls, yet several credited controls are open assumptions or have unvalidated operating evidence.</x:v>
      </x:c>
      <x:c r="G49" s="15" t="str">
        <x:v>Risk Assessment Report executive summary; Assumptions Register; Control Library</x:v>
      </x:c>
      <x:c r="H49" s="15" t="str">
        <x:v>The phrase can make a scenario-based portfolio sound like an operational assurance exercise.</x:v>
      </x:c>
      <x:c r="I49" s="15" t="str">
        <x:v>Which credited controls are genuinely operating versus assumed for the fictional baseline?</x:v>
      </x:c>
      <x:c r="J49" s="15" t="str">
        <x:v>Use 'baseline controls assumed/credited for the scenario' unless direct synthetic evidence objects are present.</x:v>
      </x:c>
      <x:c r="K49" s="15" t="str">
        <x:v>P0</x:v>
      </x:c>
      <x:c r="L49" s="15" t="str">
        <x:v>Yes</x:v>
      </x:c>
    </x:row>
    <x:row r="50">
      <x:c r="A50" s="15" t="str">
        <x:v>F-049</x:v>
      </x:c>
      <x:c r="B50" s="15" t="str">
        <x:v>Moderate</x:v>
      </x:c>
      <x:c r="C50" s="15" t="str">
        <x:v>Internal auditor; AI governance hiring manager</x:v>
      </x:c>
      <x:c r="D50" s="15" t="str">
        <x:v>Likelihood assessment horizon</x:v>
      </x:c>
      <x:c r="E50" s="15" t="str">
        <x:v>Missing rationale</x:v>
      </x:c>
      <x:c r="F50" s="15" t="str">
        <x:v>The newer draft methodology requires assessors to state the likelihood horizon and evidence, while older scored scenarios often show only an ordinal likelihood without an explicit horizon/exposure basis.</x:v>
      </x:c>
      <x:c r="G50" s="15" t="str">
        <x:v>Risk Assessment Workbook Draft v0.9 (Likelihood Scale); Risk Assessment Report/Scenario Register</x:v>
      </x:c>
      <x:c r="H50" s="15" t="str">
        <x:v>Likelihood judgments are difficult to compare or defend without a defined exposure horizon and operating context.</x:v>
      </x:c>
      <x:c r="I50" s="15" t="str">
        <x:v>Possible over what period and exposure volume—per transaction, per month, per release, or per year?</x:v>
      </x:c>
      <x:c r="J50" s="15" t="str">
        <x:v>Add a scenario rationale field with horizon, exposure, failure mechanism and evidence.</x:v>
      </x:c>
      <x:c r="K50" s="15" t="str">
        <x:v>P2</x:v>
      </x:c>
      <x:c r="L50" s="15" t="str">
        <x:v>No</x:v>
      </x:c>
    </x:row>
    <x:row r="51">
      <x:c r="A51" s="15" t="str">
        <x:v>F-050</x:v>
      </x:c>
      <x:c r="B51" s="15" t="str">
        <x:v>Moderate</x:v>
      </x:c>
      <x:c r="C51" s="15" t="str">
        <x:v>AI product owner; CISO; Internal auditor</x:v>
      </x:c>
      <x:c r="D51" s="15" t="str">
        <x:v>KPI/KRI measurability</x:v>
      </x:c>
      <x:c r="E51" s="15" t="str">
        <x:v>Generic</x:v>
      </x:c>
      <x:c r="F51" s="15" t="str">
        <x:v>Metrics such as 'unsafe recommendation rate', 'ranking error rate' and 'unsupported-answer rate' are useful labels but are not consistently operationalized with numerator/denominator, sampling method, data owner and acceptable threshold.</x:v>
      </x:c>
      <x:c r="G51" s="15" t="str">
        <x:v>AI Asset Inventory; Business Use Case Portfolio; Control Library</x:v>
      </x:c>
      <x:c r="H51" s="15" t="str">
        <x:v>Undefined metrics cannot be reproduced, audited or used to make go/no-go decisions.</x:v>
      </x:c>
      <x:c r="I51" s="15" t="str">
        <x:v>How exactly do you calculate unsupported-answer rate and what sample size is required for release?</x:v>
      </x:c>
      <x:c r="J51" s="15" t="str">
        <x:v>Create a metric dictionary and one worked monitoring report.</x:v>
      </x:c>
      <x:c r="K51" s="15" t="str">
        <x:v>P1</x:v>
      </x:c>
      <x:c r="L51" s="15" t="str">
        <x:v>No</x:v>
      </x:c>
    </x:row>
  </x:sheetData>
  <x:conditionalFormatting sqref="B2:B51">
    <x:cfRule type="expression" dxfId="0" priority="1">
      <x:formula>B2="Critical"</x:formula>
    </x:cfRule>
    <x:cfRule type="expression" dxfId="1" priority="2">
      <x:formula>B2="High"</x:formula>
    </x:cfRule>
    <x:cfRule type="expression" dxfId="2" priority="3">
      <x:formula>B2="Moderate"</x:formula>
    </x:cfRule>
  </x:conditionalFormatting>
  <x:conditionalFormatting sqref="L2:L51">
    <x:cfRule type="expression" dxfId="3" priority="4">
      <x:formula>L2="Yes"</x:formula>
    </x:cfRule>
  </x:conditionalFormatting>
  <x:pageMargins left="0.7" right="0.7" top="0.75" bottom="0.75" header="0.3" footer="0.3"/>
  <x:tableParts count="1">
    <x:tablePart xmlns:r="http://schemas.openxmlformats.org/officeDocument/2006/relationships" r:id="R2f33521a2f0c43e6"/>
  </x:tableParts>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3" hidden="0" customWidth="1"/>
    <x:col min="4" max="4" width="32" hidden="0" customWidth="1"/>
    <x:col min="5" max="5" width="14" hidden="0" customWidth="1"/>
    <x:col min="6" max="6" width="3" hidden="0" customWidth="1"/>
    <x:col min="7" max="7" width="34" hidden="0" customWidth="1"/>
    <x:col min="8" max="8" width="34" hidden="0" customWidth="1"/>
  </x:cols>
  <x:sheetData>
    <x:row r="1">
      <x:c r="A1" s="32" t="str">
        <x:v>Duckworks Skeptical Review - Findings Dashboard</x:v>
      </x:c>
      <x:c r="B1" s="32"/>
      <x:c r="C1" s="32"/>
      <x:c r="D1" s="32"/>
      <x:c r="E1" s="32"/>
      <x:c r="F1" s="32"/>
      <x:c r="G1" s="32"/>
      <x:c r="H1" s="32"/>
    </x:row>
    <x:row r="2">
      <x:c r="A2" s="33"/>
      <x:c r="B2" s="33"/>
      <x:c r="C2" s="33"/>
      <x:c r="D2" s="33"/>
      <x:c r="E2" s="33"/>
      <x:c r="F2" s="33"/>
      <x:c r="G2" s="33"/>
      <x:c r="H2" s="33"/>
    </x:row>
    <x:row r="3">
      <x:c r="A3" s="34" t="str">
        <x:v>KPI</x:v>
      </x:c>
      <x:c r="B3" s="34" t="str">
        <x:v>Value</x:v>
      </x:c>
      <x:c r="C3" s="33"/>
      <x:c r="D3" s="34" t="str">
        <x:v>Perspective</x:v>
      </x:c>
      <x:c r="E3" s="34" t="str">
        <x:v>Finding count</x:v>
      </x:c>
      <x:c r="F3" s="33"/>
      <x:c r="G3" s="34" t="str">
        <x:v>Critical review conclusion</x:v>
      </x:c>
      <x:c r="H3" s="34" t="str">
        <x:v>Assessment</x:v>
      </x:c>
    </x:row>
    <x:row r="4">
      <x:c r="A4" s="33" t="str">
        <x:v>Total findings</x:v>
      </x:c>
      <x:c r="B4" s="33" t="n">
        <x:f>COUNTA(Findings!$A$2:$A$51)</x:f>
        <x:v>50</x:v>
      </x:c>
      <x:c r="C4" s="33"/>
      <x:c r="D4" s="33" t="str">
        <x:v>AI governance hiring manager</x:v>
      </x:c>
      <x:c r="E4" s="33" t="n">
        <x:f>SUM(Calc!$B$2:$B$51)</x:f>
        <x:v>34</x:v>
      </x:c>
      <x:c r="F4" s="33"/>
      <x:c r="G4" s="33" t="str">
        <x:v>Governance design maturity</x:v>
      </x:c>
      <x:c r="H4" s="33" t="str">
        <x:v>Strong</x:v>
      </x:c>
    </x:row>
    <x:row r="5">
      <x:c r="A5" s="33" t="str">
        <x:v>Critical</x:v>
      </x:c>
      <x:c r="B5" s="33" t="n">
        <x:f>COUNTIF(Findings!$B$2:$B$51,"Critical")</x:f>
        <x:v>2</x:v>
      </x:c>
      <x:c r="C5" s="33"/>
      <x:c r="D5" s="33" t="str">
        <x:v>Internal auditor</x:v>
      </x:c>
      <x:c r="E5" s="33" t="n">
        <x:f>SUM(Calc!$C$2:$C$51)</x:f>
        <x:v>42</x:v>
      </x:c>
      <x:c r="F5" s="33"/>
      <x:c r="G5" s="33" t="str">
        <x:v>Operating evidence maturity</x:v>
      </x:c>
      <x:c r="H5" s="33" t="str">
        <x:v>Weak</x:v>
      </x:c>
    </x:row>
    <x:row r="6">
      <x:c r="A6" s="33" t="str">
        <x:v>High</x:v>
      </x:c>
      <x:c r="B6" s="33" t="n">
        <x:f>COUNTIF(Findings!$B$2:$B$51,"High")</x:f>
        <x:v>28</x:v>
      </x:c>
      <x:c r="C6" s="33"/>
      <x:c r="D6" s="33" t="str">
        <x:v>CISO</x:v>
      </x:c>
      <x:c r="E6" s="33" t="n">
        <x:f>SUM(Calc!$D$2:$D$51)</x:f>
        <x:v>18</x:v>
      </x:c>
      <x:c r="F6" s="33"/>
      <x:c r="G6" s="33" t="str">
        <x:v>Artifact consistency</x:v>
      </x:c>
      <x:c r="H6" s="33" t="str">
        <x:v>Material gaps</x:v>
      </x:c>
    </x:row>
    <x:row r="7">
      <x:c r="A7" s="33" t="str">
        <x:v>Moderate</x:v>
      </x:c>
      <x:c r="B7" s="33" t="n">
        <x:f>COUNTIF(Findings!$B$2:$B$51,"Moderate")</x:f>
        <x:v>20</x:v>
      </x:c>
      <x:c r="C7" s="33"/>
      <x:c r="D7" s="33" t="str">
        <x:v>Data protection specialist</x:v>
      </x:c>
      <x:c r="E7" s="33" t="n">
        <x:f>SUM(Calc!$E$2:$E$51)</x:f>
        <x:v>10</x:v>
      </x:c>
      <x:c r="F7" s="33"/>
      <x:c r="G7" s="33" t="str">
        <x:v>Technical validation evidence</x:v>
      </x:c>
      <x:c r="H7" s="33" t="str">
        <x:v>Weak</x:v>
      </x:c>
    </x:row>
    <x:row r="8">
      <x:c r="A8" s="33"/>
      <x:c r="B8" s="33"/>
      <x:c r="C8" s="33"/>
      <x:c r="D8" s="33" t="str">
        <x:v>AI product owner</x:v>
      </x:c>
      <x:c r="E8" s="33" t="n">
        <x:f>SUM(Calc!$F$2:$F$51)</x:f>
        <x:v>13</x:v>
      </x:c>
      <x:c r="F8" s="33"/>
      <x:c r="G8" s="33" t="str">
        <x:v>Privacy/legal assessment design</x:v>
      </x:c>
      <x:c r="H8" s="33" t="str">
        <x:v>Strong but incomplete</x:v>
      </x:c>
    </x:row>
    <x:row r="9">
      <x:c r="A9" s="33"/>
      <x:c r="B9" s="33"/>
      <x:c r="C9" s="33"/>
      <x:c r="D9" s="33"/>
      <x:c r="E9" s="33"/>
      <x:c r="F9" s="33"/>
      <x:c r="G9" s="33" t="str">
        <x:v>Business/product evidence</x:v>
      </x:c>
      <x:c r="H9" s="33" t="str">
        <x:v>Weak</x:v>
      </x:c>
    </x:row>
    <x:row r="10">
      <x:c r="A10" s="35" t="str">
        <x:v>Primary skeptical conclusion: the portfolio is stronger as governance architecture than as evidence of operated, approved, and independently tested AI governance.</x:v>
      </x:c>
      <x:c r="B10" s="35"/>
      <x:c r="C10" s="35"/>
      <x:c r="D10" s="35"/>
      <x:c r="E10" s="35"/>
      <x:c r="F10" s="35"/>
      <x:c r="G10" s="35" t="str">
        <x:v>Publish/interview readiness</x:v>
      </x:c>
      <x:c r="H10" s="35" t="str">
        <x:v>Not yet defensible without reconciliation</x:v>
      </x:c>
    </x:row>
    <x:row r="11">
      <x:c r="A11" s="33"/>
      <x:c r="B11" s="33"/>
      <x:c r="C11" s="33"/>
      <x:c r="D11" s="33"/>
      <x:c r="E11" s="33"/>
      <x:c r="F11" s="33"/>
      <x:c r="G11" s="33"/>
      <x:c r="H11" s="33"/>
    </x:row>
    <x:row r="12">
      <x:c r="A12" s="36" t="str">
        <x:v>Top blockers before public portfolio release / interview use</x:v>
      </x:c>
      <x:c r="B12" s="36"/>
      <x:c r="C12" s="36"/>
      <x:c r="D12" s="36"/>
      <x:c r="E12" s="36"/>
      <x:c r="F12" s="36"/>
      <x:c r="G12" s="36"/>
      <x:c r="H12" s="36"/>
    </x:row>
    <x:row r="13">
      <x:c r="A13" s="15" t="str">
        <x:v>F-001</x:v>
      </x:c>
      <x:c r="B13" s="15" t="str">
        <x:v>Risk methodology governance / chronology: The portfolio simultaneously contains a scored v1.0 risk report stating all seven entries were assessed and a newer Draft v0.9 workbook that explicitly prohibits scoring until formal methodology approval and reports zero systems formally scored.</x:v>
      </x:c>
      <x:c r="C13" s="15"/>
      <x:c r="D13" s="15"/>
      <x:c r="E13" s="15"/>
      <x:c r="F13" s="15"/>
      <x:c r="G13" s="15"/>
      <x:c r="H13" s="15"/>
    </x:row>
    <x:row r="14">
      <x:c r="A14" s="15" t="str">
        <x:v>F-002</x:v>
      </x:c>
      <x:c r="B14" s="15" t="str">
        <x:v>Risk scoring semantics: The v1.0 methodology/report use Impact/Severity x Likelihood numeric products as risk scores and threshold bands, while the newer draft method states the matrix band is authoritative and the product is sorting-only because the scales are ordinal.</x:v>
      </x:c>
      <x:c r="C14" s="15"/>
      <x:c r="D14" s="15"/>
      <x:c r="E14" s="15"/>
      <x:c r="F14" s="15"/>
      <x:c r="G14" s="15"/>
      <x:c r="H14" s="15"/>
    </x:row>
    <x:row r="15">
      <x:c r="A15" s="15" t="str">
        <x:v>F-003</x:v>
      </x:c>
      <x:c r="B15" s="15" t="str">
        <x:v>Control credit without validated evidence: DuckDesign's competent-engineer approval is marked Implemented and credited in residual risk, but the control library says operating evidence still requires validation and ASM-007 remains an Open Critical assumption.</x:v>
      </x:c>
      <x:c r="C15" s="15"/>
      <x:c r="D15" s="15"/>
      <x:c r="E15" s="15"/>
      <x:c r="F15" s="15"/>
      <x:c r="G15" s="15"/>
      <x:c r="H15" s="15"/>
    </x:row>
    <x:row r="16">
      <x:c r="A16" s="15" t="str">
        <x:v>F-004</x:v>
      </x:c>
      <x:c r="B16" s="15" t="str">
        <x:v>Human-oversight assumption used as risk treatment: WingInspect residual risk credits human final inspection, while the underlying assumption that qualified inspectors retain final acceptance/rejection authority remains Open Critical.</x:v>
      </x:c>
      <x:c r="C16" s="15"/>
      <x:c r="D16" s="15"/>
      <x:c r="E16" s="15"/>
      <x:c r="F16" s="15"/>
      <x:c r="G16" s="15"/>
      <x:c r="H16" s="15"/>
    </x:row>
    <x:row r="17">
      <x:c r="A17" s="15" t="str">
        <x:v>F-005</x:v>
      </x:c>
      <x:c r="B17" s="15" t="str">
        <x:v>Access-control assumption used as control: PondGPT permission-aware retrieval is partially credited, yet source-system authorization inheritance is explicitly an Open Critical assumption and the synthetic vendor control assumption is also Open Critical.</x:v>
      </x:c>
      <x:c r="C17" s="15"/>
      <x:c r="D17" s="15"/>
      <x:c r="E17" s="15"/>
      <x:c r="F17" s="15"/>
      <x:c r="G17" s="15"/>
      <x:c r="H17" s="15"/>
    </x:row>
    <x:row r="18">
      <x:c r="A18" s="15" t="str">
        <x:v>F-006</x:v>
      </x:c>
      <x:c r="B18" s="15" t="str">
        <x:v>Evidence-confidence overstatement: FeatherForecast is recorded as Effective with High evidence confidence and approved production use, yet the system AIA states that no production model, source code, vendor contract, real dataset, or technical test evidence was available.</x:v>
      </x:c>
      <x:c r="C18" s="15"/>
      <x:c r="D18" s="15"/>
      <x:c r="E18" s="15"/>
      <x:c r="F18" s="15"/>
      <x:c r="G18" s="15"/>
      <x:c r="H18" s="15"/>
    </x:row>
    <x:row r="19">
      <x:c r="A19" s="15" t="str">
        <x:v>F-007</x:v>
      </x:c>
      <x:c r="B19" s="15" t="str">
        <x:v>Inventory source-of-truth: Several artifacts define a seven-entry baseline including AI-007, while the newer synthetic inventory defines six registered systems and excludes AI-007 as an organizational condition.</x:v>
      </x:c>
      <x:c r="C19" s="15"/>
      <x:c r="D19" s="15"/>
      <x:c r="E19" s="15"/>
      <x:c r="F19" s="15"/>
      <x:c r="G19" s="15"/>
      <x:c r="H19" s="15"/>
    </x:row>
    <x:row r="20">
      <x:c r="A20" s="15" t="str">
        <x:v>F-008</x:v>
      </x:c>
      <x:c r="B20" s="15" t="str">
        <x:v>Ownership inconsistency: PondGPT's technical owner is Dr. Ada Duckfield in the AI Asset Inventory but Oliver Duckett in the newer Synthetic AI System Inventory.</x:v>
      </x:c>
      <x:c r="C20" s="15"/>
      <x:c r="D20" s="15"/>
      <x:c r="E20" s="15"/>
      <x:c r="F20" s="15"/>
      <x:c r="G20" s="15"/>
      <x:c r="H20" s="15"/>
    </x:row>
    <x:row r="21">
      <x:c r="A21" s="15" t="str">
        <x:v>F-009</x:v>
      </x:c>
      <x:c r="B21" s="15" t="str">
        <x:v>Technology/vendor drift across inventories: The older asset inventory records DuckTalent vendor as not selected, FeatherForecast as an internal model and WingInspect as an internal model; the newer synthetic inventory assigns MeritPath, Northstar and VisiCore third-party arrangements as Open assumptions.</x:v>
      </x:c>
      <x:c r="C21" s="15"/>
      <x:c r="D21" s="15"/>
      <x:c r="E21" s="15"/>
      <x:c r="F21" s="15"/>
      <x:c r="G21" s="15"/>
      <x:c r="H21" s="15"/>
    </x:row>
    <x:row r="22">
      <x:c r="A22" s="15" t="str">
        <x:v>F-011</x:v>
      </x:c>
      <x:c r="B22" s="15" t="str">
        <x:v>Document-control staleness: The Required Deliverables Register still marks the RACI, control library, operating model and multiple standards/playbooks as Planned/Required although many of those artifacts now exist.</x:v>
      </x:c>
      <x:c r="C22" s="15"/>
      <x:c r="D22" s="15"/>
      <x:c r="E22" s="15"/>
      <x:c r="F22" s="15"/>
      <x:c r="G22" s="15"/>
      <x:c r="H22" s="15"/>
    </x:row>
    <x:row r="23">
      <x:c r="A23" s="15" t="str">
        <x:v>F-013</x:v>
      </x:c>
      <x:c r="B23" s="15" t="str">
        <x:v>Evidence repository placeholder: Multiple inventory records point to 'Synthetic repository / 05-control-framework' as the control evidence location, while the dedicated Control Evidence Index control is still Planned.</x:v>
      </x:c>
      <x:c r="C23" s="15"/>
      <x:c r="D23" s="15"/>
      <x:c r="E23" s="15"/>
      <x:c r="F23" s="15"/>
      <x:c r="G23" s="15"/>
      <x:c r="H23" s="15"/>
    </x:row>
    <x:row r="24">
      <x:c r="A24" s="15" t="str">
        <x:v>F-014</x:v>
      </x:c>
      <x:c r="B24" s="15" t="str">
        <x:v>Approval claims without approval artifacts: Inventories use statuses such as Approved and Conditionally Approved, but the reviewed artifact set does not show corresponding committee minutes, release decisions, sign-offs or exception records.</x:v>
      </x:c>
      <x:c r="C24" s="15"/>
      <x:c r="D24" s="15"/>
      <x:c r="E24" s="15"/>
      <x:c r="F24" s="15"/>
      <x:c r="G24" s="15"/>
      <x:c r="H24" s="15"/>
    </x:row>
    <x:row r="25">
      <x:c r="A25" s="33"/>
      <x:c r="B25" s="33"/>
      <x:c r="C25" s="33"/>
      <x:c r="D25" s="33"/>
      <x:c r="E25" s="33"/>
      <x:c r="F25" s="33"/>
      <x:c r="G25" s="33"/>
      <x:c r="H25" s="33"/>
    </x:row>
    <x:row r="26">
      <x:c r="A26" s="33"/>
      <x:c r="B26" s="33"/>
      <x:c r="C26" s="33"/>
      <x:c r="D26" s="33"/>
      <x:c r="E26" s="33"/>
      <x:c r="F26" s="33"/>
      <x:c r="G26" s="33"/>
      <x:c r="H26" s="33"/>
    </x:row>
    <x:row r="27">
      <x:c r="A27" s="33"/>
      <x:c r="B27" s="33"/>
      <x:c r="C27" s="33"/>
      <x:c r="D27" s="33"/>
      <x:c r="E27" s="33"/>
      <x:c r="F27" s="33"/>
      <x:c r="G27" s="33"/>
      <x:c r="H27" s="33"/>
    </x:row>
    <x:row r="28">
      <x:c r="A28" s="33"/>
      <x:c r="B28" s="33"/>
      <x:c r="C28" s="33"/>
      <x:c r="D28" s="33"/>
      <x:c r="E28" s="33"/>
      <x:c r="F28" s="33"/>
      <x:c r="G28" s="33"/>
      <x:c r="H28" s="33"/>
    </x:row>
    <x:row r="29">
      <x:c r="A29" s="33"/>
      <x:c r="B29" s="33"/>
      <x:c r="C29" s="33"/>
      <x:c r="D29" s="33"/>
      <x:c r="E29" s="33"/>
      <x:c r="F29" s="33"/>
      <x:c r="G29" s="33"/>
      <x:c r="H29" s="33"/>
    </x:row>
    <x:row r="30">
      <x:c r="A30" s="33"/>
      <x:c r="B30" s="33"/>
      <x:c r="C30" s="33"/>
      <x:c r="D30" s="33"/>
      <x:c r="E30" s="33"/>
      <x:c r="F30" s="33"/>
      <x:c r="G30" s="33"/>
      <x:c r="H30" s="33"/>
    </x:row>
  </x:sheetData>
  <x:mergeCells>
    <x:mergeCell ref="A1:H1"/>
    <x:mergeCell ref="A10:H10"/>
    <x:mergeCell ref="A12:H12"/>
    <x:mergeCell ref="B13:H13"/>
    <x:mergeCell ref="B14:H14"/>
    <x:mergeCell ref="B15:H15"/>
    <x:mergeCell ref="B16:H16"/>
    <x:mergeCell ref="B17:H17"/>
    <x:mergeCell ref="B18:H18"/>
    <x:mergeCell ref="B19:H19"/>
    <x:mergeCell ref="B20:H20"/>
    <x:mergeCell ref="B21:H21"/>
    <x:mergeCell ref="B22:H22"/>
    <x:mergeCell ref="B23:H23"/>
    <x:mergeCell ref="B24:H24"/>
  </x:mergeCells>
  <x:pageMargins left="0.7" right="0.7" top="0.75" bottom="0.75" header="0.3" footer="0.3"/>
  <x:drawing xmlns:r="http://schemas.openxmlformats.org/officeDocument/2006/relationships" r:id="R46a655ce266f4320"/>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55" hidden="0" customWidth="1"/>
    <x:col min="5" max="5" width="50" hidden="0" customWidth="1"/>
  </x:cols>
  <x:sheetData>
    <x:row r="1">
      <x:c r="A1" s="4" t="str">
        <x:v>Question ID</x:v>
      </x:c>
      <x:c r="B1" s="4" t="str">
        <x:v>Perspective</x:v>
      </x:c>
      <x:c r="C1" s="4" t="str">
        <x:v>Related Finding</x:v>
      </x:c>
      <x:c r="D1" s="4" t="str">
        <x:v>Question</x:v>
      </x:c>
      <x:c r="E1" s="4" t="str">
        <x:v>What a strong answer must show</x:v>
      </x:c>
    </x:row>
    <x:row r="2">
      <x:c r="A2" s="12" t="str">
        <x:v>Q-01</x:v>
      </x:c>
      <x:c r="B2" s="12" t="str">
        <x:v>AI governance hiring manager</x:v>
      </x:c>
      <x:c r="C2" s="12" t="str">
        <x:v>F-001</x:v>
      </x:c>
      <x:c r="D2" s="12" t="str">
        <x:v>Which risk methodology is authoritative today, who approved it, when did approval occur, and why does a later workbook say zero systems are formally scored?</x:v>
      </x:c>
      <x:c r="E2" s="12" t="str">
        <x:v>Declare the authoritative methodology and supersession chain; either re-score under the approved method or clearly archive the draft/replaced artifacts.</x:v>
      </x:c>
    </x:row>
    <x:row r="3">
      <x:c r="A3" s="12" t="str">
        <x:v>Q-02</x:v>
      </x:c>
      <x:c r="B3" s="12" t="str">
        <x:v>AI governance hiring manager</x:v>
      </x:c>
      <x:c r="C3" s="12" t="str">
        <x:v>F-002</x:v>
      </x:c>
      <x:c r="D3" s="12" t="str">
        <x:v>Why should I trust a score of 16 rather than the High band, and what changed between the two scoring designs?</x:v>
      </x:c>
      <x:c r="E3" s="12" t="str">
        <x:v>Select one scoring philosophy and document the change rationale; remove contradictory meaning from active artifacts.</x:v>
      </x:c>
    </x:row>
    <x:row r="4">
      <x:c r="A4" s="12" t="str">
        <x:v>Q-03</x:v>
      </x:c>
      <x:c r="B4" s="12" t="str">
        <x:v>Internal auditor</x:v>
      </x:c>
      <x:c r="C4" s="12" t="str">
        <x:v>F-003</x:v>
      </x:c>
      <x:c r="D4" s="12" t="str">
        <x:v>Show me the design-review records that justified reducing AI-001 likelihood from 3 to 2. If you cannot, why is DD-01 implemented?</x:v>
      </x:c>
      <x:c r="E4" s="12" t="str">
        <x:v>Downgrade the implementation/evidence claim or provide the synthetic operating evidence that supports the credit; reconcile ASM-007.</x:v>
      </x:c>
    </x:row>
    <x:row r="5">
      <x:c r="A5" s="12" t="str">
        <x:v>Q-04</x:v>
      </x:c>
      <x:c r="B5" s="12" t="str">
        <x:v>Internal auditor</x:v>
      </x:c>
      <x:c r="C5" s="12" t="str">
        <x:v>F-004</x:v>
      </x:c>
      <x:c r="D5" s="12" t="str">
        <x:v>What workflow evidence proves inspectors can and do override the model, and what happens under throughput pressure?</x:v>
      </x:c>
      <x:c r="E5" s="12" t="str">
        <x:v>Produce a synthetic manufacturing SOP/workflow sample and oversight test evidence or remove the residual-risk credit.</x:v>
      </x:c>
    </x:row>
    <x:row r="6">
      <x:c r="A6" s="12" t="str">
        <x:v>Q-05</x:v>
      </x:c>
      <x:c r="B6" s="12" t="str">
        <x:v>CISO</x:v>
      </x:c>
      <x:c r="C6" s="12" t="str">
        <x:v>F-005</x:v>
      </x:c>
      <x:c r="D6" s="12" t="str">
        <x:v>Show the negative authorization tests for two users with different repository rights and the exact connector configuration tested.</x:v>
      </x:c>
      <x:c r="E6" s="12" t="str">
        <x:v>Demonstrate versioned permission regression evidence and link it to the exact PondGPT baseline before crediting the control.</x:v>
      </x:c>
    </x:row>
    <x:row r="7">
      <x:c r="A7" s="12" t="str">
        <x:v>Q-06</x:v>
      </x:c>
      <x:c r="B7" s="12" t="str">
        <x:v>Internal auditor</x:v>
      </x:c>
      <x:c r="C7" s="12" t="str">
        <x:v>F-006</x:v>
      </x:c>
      <x:c r="D7" s="12" t="str">
        <x:v>What evidence makes the confidence High rather than Medium if no production model, dataset, contract, or test evidence was reviewed?</x:v>
      </x:c>
      <x:c r="E7" s="12" t="str">
        <x:v>Either reduce evidence confidence or add a synthetic but inspectable evidence pack: test results, drift report, approval, access review and model/version record.</x:v>
      </x:c>
    </x:row>
    <x:row r="8">
      <x:c r="A8" s="12" t="str">
        <x:v>Q-07</x:v>
      </x:c>
      <x:c r="B8" s="12" t="str">
        <x:v>AI governance hiring manager</x:v>
      </x:c>
      <x:c r="C8" s="12" t="str">
        <x:v>F-007</x:v>
      </x:c>
      <x:c r="D8" s="12" t="str">
        <x:v>Does Duckworks have six AI systems or seven inventory entries, and which number should the board see?</x:v>
      </x:c>
      <x:c r="E8" s="12" t="str">
        <x:v>Define authoritative counting rules: six registered AI systems plus one shadow-AI governance condition; update acceptance metrics consistently.</x:v>
      </x:c>
    </x:row>
    <x:row r="9">
      <x:c r="A9" s="12" t="str">
        <x:v>Q-08</x:v>
      </x:c>
      <x:c r="B9" s="12" t="str">
        <x:v>AI governance hiring manager</x:v>
      </x:c>
      <x:c r="C9" s="12" t="str">
        <x:v>F-008</x:v>
      </x:c>
      <x:c r="D9" s="12" t="str">
        <x:v>Who is actually accountable for PondGPT's technical implementation and security configuration?</x:v>
      </x:c>
      <x:c r="E9" s="12" t="str">
        <x:v>Resolve the owner model and propagate it through inventory, RACI, assessments, controls and approval records.</x:v>
      </x:c>
    </x:row>
    <x:row r="10">
      <x:c r="A10" s="12" t="str">
        <x:v>Q-09</x:v>
      </x:c>
      <x:c r="B10" s="12" t="str">
        <x:v>AI governance hiring manager</x:v>
      </x:c>
      <x:c r="C10" s="12" t="str">
        <x:v>F-009</x:v>
      </x:c>
      <x:c r="D10" s="12" t="str">
        <x:v>Were the risk, privacy, security and legal assessments reopened when the implementation model changed from internal/unknown to named third-party services?</x:v>
      </x:c>
      <x:c r="E10" s="12" t="str">
        <x:v>Treat the synthetic vendor enrichment as a controlled material change; document which assessments were reopened or why not.</x:v>
      </x:c>
    </x:row>
    <x:row r="11">
      <x:c r="A11" s="12" t="str">
        <x:v>Q-10</x:v>
      </x:c>
      <x:c r="B11" s="12" t="str">
        <x:v>Internal auditor</x:v>
      </x:c>
      <x:c r="C11" s="12" t="str">
        <x:v>F-010</x:v>
      </x:c>
      <x:c r="D11" s="12" t="str">
        <x:v>Show me one completed CM-C2/C3 change record caused by the new vendor assumptions and the artifacts it reopened.</x:v>
      </x:c>
      <x:c r="E11" s="12" t="str">
        <x:v>Explain or demonstrate one worked synthetic change record and trace its reassessment/approval effects.</x:v>
      </x:c>
    </x:row>
    <x:row r="12">
      <x:c r="A12" s="12" t="str">
        <x:v>Q-11</x:v>
      </x:c>
      <x:c r="B12" s="12" t="str">
        <x:v>AI governance hiring manager</x:v>
      </x:c>
      <x:c r="C12" s="12" t="str">
        <x:v>F-011</x:v>
      </x:c>
      <x:c r="D12" s="12" t="str">
        <x:v>Which artifact register is authoritative, and why does it say planned for documents you are showing me as complete?</x:v>
      </x:c>
      <x:c r="E12" s="12" t="str">
        <x:v>Update the master deliverables register with status, version, evidence location, approval state and superseded items.</x:v>
      </x:c>
    </x:row>
    <x:row r="13">
      <x:c r="A13" s="12" t="str">
        <x:v>Q-12</x:v>
      </x:c>
      <x:c r="B13" s="12" t="str">
        <x:v>Internal auditor</x:v>
      </x:c>
      <x:c r="C13" s="12" t="str">
        <x:v>F-012</x:v>
      </x:c>
      <x:c r="D13" s="12" t="str">
        <x:v>Which criteria currently fail, who accepted the residual actions, and where is the signed acceptance record?</x:v>
      </x:c>
      <x:c r="E13" s="12" t="str">
        <x:v>Demonstrate a separate acceptance-results/evidence index after reconciliation; do not mark criteria passed merely because documents exist.</x:v>
      </x:c>
    </x:row>
    <x:row r="14">
      <x:c r="A14" s="12" t="str">
        <x:v>Q-13</x:v>
      </x:c>
      <x:c r="B14" s="12" t="str">
        <x:v>Internal auditor</x:v>
      </x:c>
      <x:c r="C14" s="12" t="str">
        <x:v>F-013</x:v>
      </x:c>
      <x:c r="D14" s="12" t="str">
        <x:v>Give me the exact evidence object for DD-01 for design version Pilot-0.8 and show how it traces back to the risk scenario.</x:v>
      </x:c>
      <x:c r="E14" s="12" t="str">
        <x:v>Use evidence IDs/URIs with AI ID, control ID, version, date, owner and outcome; create sample evidence objects.</x:v>
      </x:c>
    </x:row>
    <x:row r="15">
      <x:c r="A15" s="12" t="str">
        <x:v>Q-14</x:v>
      </x:c>
      <x:c r="B15" s="12" t="str">
        <x:v>Internal auditor</x:v>
      </x:c>
      <x:c r="C15" s="12" t="str">
        <x:v>F-014</x:v>
      </x:c>
      <x:c r="D15" s="12" t="str">
        <x:v>Who approved FeatherForecast for production and WingInspect/PondGPT for restricted pilot, on what date, against which evidence pack?</x:v>
      </x:c>
      <x:c r="E15" s="12" t="str">
        <x:v>Demonstrate synthetic approval decision records and link them from inventory; label status as 'simulated decision' until evidenced.</x:v>
      </x:c>
    </x:row>
    <x:row r="16">
      <x:c r="A16" s="12" t="str">
        <x:v>Q-15</x:v>
      </x:c>
      <x:c r="B16" s="12" t="str">
        <x:v>CISO</x:v>
      </x:c>
      <x:c r="C16" s="12" t="str">
        <x:v>F-015</x:v>
      </x:c>
      <x:c r="D16" s="12" t="str">
        <x:v>Show me a successful indirect prompt-injection test, the affected trust boundary, remediation, and regression result.</x:v>
      </x:c>
      <x:c r="E16" s="12" t="str">
        <x:v>Explain or demonstrate worked synthetic threat models and red-team/security test reports for QuackBot and PondGPT.</x:v>
      </x:c>
    </x:row>
    <x:row r="17">
      <x:c r="A17" s="12" t="str">
        <x:v>Q-16</x:v>
      </x:c>
      <x:c r="B17" s="12" t="str">
        <x:v>CISO</x:v>
      </x:c>
      <x:c r="C17" s="12" t="str">
        <x:v>F-016</x:v>
      </x:c>
      <x:c r="D17" s="12" t="str">
        <x:v>Which exact model, embedding model, vector-store version and prompt/configuration hash were in the approved PondGPT pilot?</x:v>
      </x:c>
      <x:c r="E17" s="12" t="str">
        <x:v>Complete at least one system's AIBOM end-to-end with synthetic version IDs/hashes and evidence references.</x:v>
      </x:c>
    </x:row>
    <x:row r="18">
      <x:c r="A18" s="12" t="str">
        <x:v>Q-17</x:v>
      </x:c>
      <x:c r="B18" s="12" t="str">
        <x:v>CISO</x:v>
      </x:c>
      <x:c r="C18" s="12" t="str">
        <x:v>F-017</x:v>
      </x:c>
      <x:c r="D18" s="12" t="str">
        <x:v>How was shadow AI discovered, how many tools/users were involved, and what evidence confirmed the exposure?</x:v>
      </x:c>
      <x:c r="E18" s="12" t="str">
        <x:v>Either label the event explicitly as a synthetic scenario trigger or add a worked synthetic discovery log/case.</x:v>
      </x:c>
    </x:row>
    <x:row r="19">
      <x:c r="A19" s="12" t="str">
        <x:v>Q-18</x:v>
      </x:c>
      <x:c r="B19" s="12" t="str">
        <x:v>Data protection specialist</x:v>
      </x:c>
      <x:c r="C19" s="12" t="str">
        <x:v>F-019</x:v>
      </x:c>
      <x:c r="D19" s="12" t="str">
        <x:v>What is the lawful basis, who is controller/processor for each processing step, where is data stored, and what is the retention schedule?</x:v>
      </x:c>
      <x:c r="E19" s="12" t="str">
        <x:v>Keep the 'Do not deploy' gate; add a completed synthetic data-flow/role/retention record if the portfolio wants to demonstrate execution rather than design.</x:v>
      </x:c>
    </x:row>
    <x:row r="20">
      <x:c r="A20" s="12" t="str">
        <x:v>Q-19</x:v>
      </x:c>
      <x:c r="B20" s="12" t="str">
        <x:v>Data protection specialist</x:v>
      </x:c>
      <x:c r="C20" s="12" t="str">
        <x:v>F-020</x:v>
      </x:c>
      <x:c r="D20" s="12" t="str">
        <x:v>Where is the documented DPIA threshold screening for QuackBot and PondGPT?</x:v>
      </x:c>
      <x:c r="E20" s="12" t="str">
        <x:v>Explain or demonstrate concise system-specific privacy/DPIA screening records and link them to ROPA/data-flow records.</x:v>
      </x:c>
    </x:row>
    <x:row r="21">
      <x:c r="A21" s="12" t="str">
        <x:v>Q-20</x:v>
      </x:c>
      <x:c r="B21" s="12" t="str">
        <x:v>Data protection specialist</x:v>
      </x:c>
      <x:c r="C21" s="12" t="str">
        <x:v>F-021</x:v>
      </x:c>
      <x:c r="D21" s="12" t="str">
        <x:v>For the actual fictional vendor used by PondGPT, show the signed DPA schedule, subprocessors, training-use setting and deletion evidence.</x:v>
      </x:c>
      <x:c r="E21" s="12" t="str">
        <x:v>Demonstrate one completed synthetic vendor due-diligence and contract evidence pack, clearly marked simulated.</x:v>
      </x:c>
    </x:row>
    <x:row r="22">
      <x:c r="A22" s="12" t="str">
        <x:v>Q-21</x:v>
      </x:c>
      <x:c r="B22" s="12" t="str">
        <x:v>Data protection specialist</x:v>
      </x:c>
      <x:c r="C22" s="12" t="str">
        <x:v>F-022</x:v>
      </x:c>
      <x:c r="D22" s="12" t="str">
        <x:v>Pick one critical dataset and show provenance, lawful/authorized use, quality evidence, retention and deletion disposition.</x:v>
      </x:c>
      <x:c r="E22" s="12" t="str">
        <x:v>Complete one end-to-end synthetic data lineage/evidence example for a high-impact system.</x:v>
      </x:c>
    </x:row>
    <x:row r="23">
      <x:c r="A23" s="12" t="str">
        <x:v>Q-22</x:v>
      </x:c>
      <x:c r="B23" s="12" t="str">
        <x:v>AI governance hiring manager</x:v>
      </x:c>
      <x:c r="C23" s="12" t="str">
        <x:v>F-024</x:v>
      </x:c>
      <x:c r="D23" s="12" t="str">
        <x:v>How did you test that human reviewers were meaningfully involved rather than rubber-stamping AI outputs?</x:v>
      </x:c>
      <x:c r="E23" s="12" t="str">
        <x:v>Demonstrate one worked oversight effectiveness test with user tasks, override cases, time pressure and evidence.</x:v>
      </x:c>
    </x:row>
    <x:row r="24">
      <x:c r="A24" s="12" t="str">
        <x:v>Q-23</x:v>
      </x:c>
      <x:c r="B24" s="12" t="str">
        <x:v>Internal auditor</x:v>
      </x:c>
      <x:c r="C24" s="12" t="str">
        <x:v>F-025</x:v>
      </x:c>
      <x:c r="D24" s="12" t="str">
        <x:v>Why does this treatment reduce likelihood from Possible to Rare, and what evidence would be required to justify that change?</x:v>
      </x:c>
      <x:c r="E24" s="12" t="str">
        <x:v>Use anchored rationale and explicit evidence conditions for target bands; avoid presenting the product as predictive probability.</x:v>
      </x:c>
    </x:row>
    <x:row r="25">
      <x:c r="A25" s="12" t="str">
        <x:v>Q-24</x:v>
      </x:c>
      <x:c r="B25" s="12" t="str">
        <x:v>AI governance hiring manager</x:v>
      </x:c>
      <x:c r="C25" s="12" t="str">
        <x:v>F-031</x:v>
      </x:c>
      <x:c r="D25" s="12" t="str">
        <x:v>Which artifact is the system of record for ownership, vendor, lifecycle, risk and evidence, and how are downstream documents synchronized?</x:v>
      </x:c>
      <x:c r="E25" s="12" t="str">
        <x:v>Define authoritative fields by source, supersession rules and update propagation.</x:v>
      </x:c>
    </x:row>
    <x:row r="26">
      <x:c r="A26" s="12" t="str">
        <x:v>Q-25</x:v>
      </x:c>
      <x:c r="B26" s="12" t="str">
        <x:v>AI product owner</x:v>
      </x:c>
      <x:c r="C26" s="12" t="str">
        <x:v>F-034</x:v>
      </x:c>
      <x:c r="D26" s="12" t="str">
        <x:v>What measurable business outcome justifies continuing this pilot, and what result would cause you to stop it even if it is compliant?</x:v>
      </x:c>
      <x:c r="E26" s="12" t="str">
        <x:v>Explain or demonstrate synthetic baselines/targets only where explicitly designated as assumptions, or retain TBD but show a benefit-validation plan and decision thresholds.</x:v>
      </x:c>
    </x:row>
    <x:row r="27">
      <x:c r="A27" s="12" t="str">
        <x:v>Q-26</x:v>
      </x:c>
      <x:c r="B27" s="12" t="str">
        <x:v>AI product owner</x:v>
      </x:c>
      <x:c r="C27" s="12" t="str">
        <x:v>F-035</x:v>
      </x:c>
      <x:c r="D27" s="12" t="str">
        <x:v>What threshold causes WingInspect to stop, who receives the alert, and over what sample window?</x:v>
      </x:c>
      <x:c r="E27" s="12" t="str">
        <x:v>Define metric dictionary, thresholds, observation windows, owner, data source and action for at least one system.</x:v>
      </x:c>
    </x:row>
    <x:row r="28">
      <x:c r="A28" s="12" t="str">
        <x:v>Q-27</x:v>
      </x:c>
      <x:c r="B28" s="12" t="str">
        <x:v>AI product owner</x:v>
      </x:c>
      <x:c r="C28" s="12" t="str">
        <x:v>F-036</x:v>
      </x:c>
      <x:c r="D28" s="12" t="str">
        <x:v>Show the last monthly drift report, last manager override sample, back-test result and approval record for FeatherForecast.</x:v>
      </x:c>
      <x:c r="E28" s="12" t="str">
        <x:v>Make FeatherForecast the worked operating-evidence case with synthetic artifacts tied to version 2.3.1.</x:v>
      </x:c>
    </x:row>
    <x:row r="29">
      <x:c r="A29" s="12" t="str">
        <x:v>Q-28</x:v>
      </x:c>
      <x:c r="B29" s="12" t="str">
        <x:v>AI governance hiring manager</x:v>
      </x:c>
      <x:c r="C29" s="12" t="str">
        <x:v>F-037</x:v>
      </x:c>
      <x:c r="D29" s="12" t="str">
        <x:v>When did the governance model become effective, and where is the approval/effective-date record?</x:v>
      </x:c>
      <x:c r="E29" s="12" t="str">
        <x:v>Use explicit status taxonomy: Draft design / Simulated approved / Operating; update the register accordingly.</x:v>
      </x:c>
    </x:row>
    <x:row r="30">
      <x:c r="A30" s="12" t="str">
        <x:v>Q-29</x:v>
      </x:c>
      <x:c r="B30" s="12" t="str">
        <x:v>AI governance hiring manager</x:v>
      </x:c>
      <x:c r="C30" s="12" t="str">
        <x:v>F-038</x:v>
      </x:c>
      <x:c r="D30" s="12" t="str">
        <x:v>Who approved the critical-risk appetite and exceptional acceptance authority?</x:v>
      </x:c>
      <x:c r="E30" s="12" t="str">
        <x:v>Either mark the rules as proposed governance design or add a simulated executive risk-appetite approval record.</x:v>
      </x:c>
    </x:row>
    <x:row r="31">
      <x:c r="A31" s="12" t="str">
        <x:v>Q-30</x:v>
      </x:c>
      <x:c r="B31" s="12" t="str">
        <x:v>Internal auditor</x:v>
      </x:c>
      <x:c r="C31" s="12" t="str">
        <x:v>F-039</x:v>
      </x:c>
      <x:c r="D31" s="12" t="str">
        <x:v>What do you mean by 'validated' here: validated by external/operating evidence or fixed as a scenario premise?</x:v>
      </x:c>
      <x:c r="E31" s="12" t="str">
        <x:v>Split statuses into Scenario premise / Evidenced / Open / Superseded to avoid audit-language ambiguity.</x:v>
      </x:c>
    </x:row>
    <x:row r="32">
      <x:c r="A32" s="12" t="str">
        <x:v>Q-31</x:v>
      </x:c>
      <x:c r="B32" s="12" t="str">
        <x:v>Data protection specialist</x:v>
      </x:c>
      <x:c r="C32" s="12" t="str">
        <x:v>F-040</x:v>
      </x:c>
      <x:c r="D32" s="12" t="str">
        <x:v>Who verified the consolidated legal text, when, and how do you know the cited version has not been superseded?</x:v>
      </x:c>
      <x:c r="E32" s="12" t="str">
        <x:v>Explain or demonstrate verification owner/date/source identifier and explicitly label legal conclusions as research findings pending counsel confirmation.</x:v>
      </x:c>
    </x:row>
    <x:row r="33">
      <x:c r="A33" s="12" t="str">
        <x:v>Q-32</x:v>
      </x:c>
      <x:c r="B33" s="12" t="str">
        <x:v>AI governance hiring manager</x:v>
      </x:c>
      <x:c r="C33" s="12" t="str">
        <x:v>F-041</x:v>
      </x:c>
      <x:c r="D33" s="12" t="str">
        <x:v>Which legal conclusions are mandatory requirements now, which are future/conditional, and which are only recommended governance practice?</x:v>
      </x:c>
      <x:c r="E33" s="12" t="str">
        <x:v>Before publication/interview, re-verify current primary sources and keep a dated legal verification log.</x:v>
      </x:c>
    </x:row>
    <x:row r="34">
      <x:c r="A34" s="12" t="str">
        <x:v>Q-33</x:v>
      </x:c>
      <x:c r="B34" s="12" t="str">
        <x:v>AI governance hiring manager</x:v>
      </x:c>
      <x:c r="C34" s="12" t="str">
        <x:v>F-044</x:v>
      </x:c>
      <x:c r="D34" s="12" t="str">
        <x:v>Show the last governance committee pack, the decision it drove, and an overdue action that was escalated.</x:v>
      </x:c>
      <x:c r="E34" s="12" t="str">
        <x:v>Demonstrate a synthetic committee pack/minutes/action log using the reconciled source data.</x:v>
      </x:c>
    </x:row>
    <x:row r="35">
      <x:c r="A35" s="12" t="str">
        <x:v>Q-34</x:v>
      </x:c>
      <x:c r="B35" s="12" t="str">
        <x:v>CISO</x:v>
      </x:c>
      <x:c r="C35" s="12" t="str">
        <x:v>F-046</x:v>
      </x:c>
      <x:c r="D35" s="12" t="str">
        <x:v>Which supplier has actually passed the due-diligence control, and what evidence expired or remains open?</x:v>
      </x:c>
      <x:c r="E35" s="12" t="str">
        <x:v>Use separate Design Status and Operating Status fields or reserve Partially Implemented for actual executions.</x:v>
      </x:c>
    </x:row>
    <x:row r="36">
      <x:c r="A36" s="12" t="str">
        <x:v>Q-35</x:v>
      </x:c>
      <x:c r="B36" s="12" t="str">
        <x:v>Internal auditor</x:v>
      </x:c>
      <x:c r="C36" s="12" t="str">
        <x:v>F-047</x:v>
      </x:c>
      <x:c r="D36" s="12" t="str">
        <x:v>What is the difference in this portfolio between 'implemented', 'operating', 'effective' and 'validated'?</x:v>
      </x:c>
      <x:c r="E36" s="12" t="str">
        <x:v>Separate Design, Implementation, Operating Evidence and Effectiveness fields.</x:v>
      </x:c>
    </x:row>
    <x:row r="37">
      <x:c r="A37" s="12" t="str">
        <x:v>Q-36</x:v>
      </x:c>
      <x:c r="B37" s="12" t="str">
        <x:v>Internal auditor</x:v>
      </x:c>
      <x:c r="C37" s="12" t="str">
        <x:v>F-048</x:v>
      </x:c>
      <x:c r="D37" s="12" t="str">
        <x:v>Which credited controls are genuinely operating versus assumed for the fictional baseline?</x:v>
      </x:c>
      <x:c r="E37" s="12" t="str">
        <x:v>Use 'baseline controls assumed/credited for the scenario' unless direct synthetic evidence objects are present.</x:v>
      </x:c>
    </x:row>
  </x:sheetData>
  <x:pageMargins left="0.7" right="0.7" top="0.75" bottom="0.75" header="0.3" footer="0.3"/>
  <x:tableParts count="1">
    <x:tablePart xmlns:r="http://schemas.openxmlformats.org/officeDocument/2006/relationships" r:id="R0e1eb350cd554a73"/>
  </x:tableParts>
</x:worksheet>
</file>

<file path=xl/worksheets/sheet4.xml><?xml version="1.0" encoding="utf-8"?>
<x:worksheet xmlns:x="http://schemas.openxmlformats.org/spreadsheetml/2006/main">
  <x:sheetFormatPr defaultRowHeight="15"/>
  <x:cols>
    <x:col min="1" max="1" width="12" hidden="0" customWidth="1"/>
    <x:col min="2" max="2" width="36" hidden="0" customWidth="1"/>
    <x:col min="3" max="3" width="24" hidden="0" customWidth="1"/>
    <x:col min="4" max="4" width="46" hidden="0" customWidth="1"/>
    <x:col min="5" max="5" width="60" hidden="0" customWidth="1"/>
    <x:col min="6" max="6" width="10" hidden="0" customWidth="1"/>
  </x:cols>
  <x:sheetData>
    <x:row r="1">
      <x:c r="A1" s="3" t="str">
        <x:v>Evidence ID</x:v>
      </x:c>
      <x:c r="B1" s="3" t="str">
        <x:v>Evidence Package / Record</x:v>
      </x:c>
      <x:c r="C1" s="3" t="str">
        <x:v>Primary Systems</x:v>
      </x:c>
      <x:c r="D1" s="3" t="str">
        <x:v>Why Requested</x:v>
      </x:c>
      <x:c r="E1" s="3" t="str">
        <x:v>Minimum Contents</x:v>
      </x:c>
      <x:c r="F1" s="3" t="str">
        <x:v>Priority</x:v>
      </x:c>
    </x:row>
    <x:row r="2">
      <x:c r="A2" s="12" t="str">
        <x:v>E-001</x:v>
      </x:c>
      <x:c r="B2" s="12" t="str">
        <x:v>Authoritative document / supersession register</x:v>
      </x:c>
      <x:c r="C2" s="12" t="str">
        <x:v>Portfolio-wide</x:v>
      </x:c>
      <x:c r="D2" s="12" t="str">
        <x:v>Resolve conflicting inventories, risk methods and stale deliverable statuses</x:v>
      </x:c>
      <x:c r="E2" s="12" t="str">
        <x:v>Artifact ID, version, status, owner, effective date, supersedes/superseded-by, authoritative fields</x:v>
      </x:c>
      <x:c r="F2" s="12" t="str">
        <x:v>P0</x:v>
      </x:c>
    </x:row>
    <x:row r="3">
      <x:c r="A3" s="12" t="str">
        <x:v>E-002</x:v>
      </x:c>
      <x:c r="B3" s="12" t="str">
        <x:v>Risk methodology approval record</x:v>
      </x:c>
      <x:c r="C3" s="12" t="str">
        <x:v>Portfolio-wide</x:v>
      </x:c>
      <x:c r="D3" s="12" t="str">
        <x:v>Prove when scoring became authorized</x:v>
      </x:c>
      <x:c r="E3" s="12" t="str">
        <x:v>Approver, date, version, approval conditions, effective date</x:v>
      </x:c>
      <x:c r="F3" s="12" t="str">
        <x:v>P0</x:v>
      </x:c>
    </x:row>
    <x:row r="4">
      <x:c r="A4" s="12" t="str">
        <x:v>E-003</x:v>
      </x:c>
      <x:c r="B4" s="12" t="str">
        <x:v>Reconciled risk assessment workbook</x:v>
      </x:c>
      <x:c r="C4" s="12" t="str">
        <x:v>AI-001 to AI-007</x:v>
      </x:c>
      <x:c r="D4" s="12" t="str">
        <x:v>Eliminate scored vs Not Assessed contradiction</x:v>
      </x:c>
      <x:c r="E4" s="12" t="str">
        <x:v>Scenario rationale, horizon, matrix band, control evidence, approval</x:v>
      </x:c>
      <x:c r="F4" s="12" t="str">
        <x:v>P0</x:v>
      </x:c>
    </x:row>
    <x:row r="5">
      <x:c r="A5" s="12" t="str">
        <x:v>E-004</x:v>
      </x:c>
      <x:c r="B5" s="12" t="str">
        <x:v>DuckDesign engineer-review evidence sample</x:v>
      </x:c>
      <x:c r="C5" s="12" t="str">
        <x:v>AI-001</x:v>
      </x:c>
      <x:c r="D5" s="12" t="str">
        <x:v>Validate control credit for DD-01</x:v>
      </x:c>
      <x:c r="E5" s="12" t="str">
        <x:v>Design/version, AI output, reviewer, source checks, decision, timestamp</x:v>
      </x:c>
      <x:c r="F5" s="12" t="str">
        <x:v>P0</x:v>
      </x:c>
    </x:row>
    <x:row r="6">
      <x:c r="A6" s="12" t="str">
        <x:v>E-005</x:v>
      </x:c>
      <x:c r="B6" s="12" t="str">
        <x:v>WingInspect human-final-authority evidence</x:v>
      </x:c>
      <x:c r="C6" s="12" t="str">
        <x:v>AI-004</x:v>
      </x:c>
      <x:c r="D6" s="12" t="str">
        <x:v>Validate safety governance boundary</x:v>
      </x:c>
      <x:c r="E6" s="12" t="str">
        <x:v>Workflow, reviewer role, override record, sample inspection, release restriction</x:v>
      </x:c>
      <x:c r="F6" s="12" t="str">
        <x:v>P0</x:v>
      </x:c>
    </x:row>
    <x:row r="7">
      <x:c r="A7" s="12" t="str">
        <x:v>E-006</x:v>
      </x:c>
      <x:c r="B7" s="12" t="str">
        <x:v>PondGPT permission regression report</x:v>
      </x:c>
      <x:c r="C7" s="12" t="str">
        <x:v>AI-006</x:v>
      </x:c>
      <x:c r="D7" s="12" t="str">
        <x:v>Validate cross-user authorization control</x:v>
      </x:c>
      <x:c r="E7" s="12" t="str">
        <x:v>Test personas, source ACLs, connector version, denied/allowed cases, findings</x:v>
      </x:c>
      <x:c r="F7" s="12" t="str">
        <x:v>P0</x:v>
      </x:c>
    </x:row>
    <x:row r="8">
      <x:c r="A8" s="12" t="str">
        <x:v>E-007</x:v>
      </x:c>
      <x:c r="B8" s="12" t="str">
        <x:v>FeatherForecast operating-evidence pack</x:v>
      </x:c>
      <x:c r="C8" s="12" t="str">
        <x:v>AI-003</x:v>
      </x:c>
      <x:c r="D8" s="12" t="str">
        <x:v>Make production use the strongest worked example</x:v>
      </x:c>
      <x:c r="E8" s="12" t="str">
        <x:v>Model/version, back-test, drift report, data-quality check, access review, owner approval</x:v>
      </x:c>
      <x:c r="F8" s="12" t="str">
        <x:v>P0</x:v>
      </x:c>
    </x:row>
    <x:row r="9">
      <x:c r="A9" s="12" t="str">
        <x:v>E-008</x:v>
      </x:c>
      <x:c r="B9" s="12" t="str">
        <x:v>AI Governance Committee decision record</x:v>
      </x:c>
      <x:c r="C9" s="12" t="str">
        <x:v>AI-003/004/006</x:v>
      </x:c>
      <x:c r="D9" s="12" t="str">
        <x:v>Support approval/conditional approval claims</x:v>
      </x:c>
      <x:c r="E9" s="12" t="str">
        <x:v>Agenda, evidence pack, attendees, decision, conditions, due dates</x:v>
      </x:c>
      <x:c r="F9" s="12" t="str">
        <x:v>P0</x:v>
      </x:c>
    </x:row>
    <x:row r="10">
      <x:c r="A10" s="12" t="str">
        <x:v>E-009</x:v>
      </x:c>
      <x:c r="B10" s="12" t="str">
        <x:v>Control evidence index</x:v>
      </x:c>
      <x:c r="C10" s="12" t="str">
        <x:v>Portfolio-wide</x:v>
      </x:c>
      <x:c r="D10" s="12" t="str">
        <x:v>Replace generic folder references</x:v>
      </x:c>
      <x:c r="E10" s="12" t="str">
        <x:v>Evidence ID, AI ID, control ID, version, date, owner, link/location, result, expiry</x:v>
      </x:c>
      <x:c r="F10" s="12" t="str">
        <x:v>P0</x:v>
      </x:c>
    </x:row>
    <x:row r="11">
      <x:c r="A11" s="12" t="str">
        <x:v>E-010</x:v>
      </x:c>
      <x:c r="B11" s="12" t="str">
        <x:v>Completed material-change record</x:v>
      </x:c>
      <x:c r="C11" s="12" t="str">
        <x:v>One system with ASM-025-030</x:v>
      </x:c>
      <x:c r="D11" s="12" t="str">
        <x:v>Demonstrate change process operation</x:v>
      </x:c>
      <x:c r="E11" s="12" t="str">
        <x:v>Change class, impact screen, reopened assessments, tests, approval, release</x:v>
      </x:c>
      <x:c r="F11" s="12" t="str">
        <x:v>P1</x:v>
      </x:c>
    </x:row>
    <x:row r="12">
      <x:c r="A12" s="12" t="str">
        <x:v>E-011</x:v>
      </x:c>
      <x:c r="B12" s="12" t="str">
        <x:v>QuackBot threat model and adversarial test</x:v>
      </x:c>
      <x:c r="C12" s="12" t="str">
        <x:v>AI-002</x:v>
      </x:c>
      <x:c r="D12" s="12" t="str">
        <x:v>Demonstrate concrete GenAI security practice</x:v>
      </x:c>
      <x:c r="E12" s="12" t="str">
        <x:v>Trust boundaries, attack paths, test corpus, results, remediation, regression</x:v>
      </x:c>
      <x:c r="F12" s="12" t="str">
        <x:v>P1</x:v>
      </x:c>
    </x:row>
    <x:row r="13">
      <x:c r="A13" s="12" t="str">
        <x:v>E-012</x:v>
      </x:c>
      <x:c r="B13" s="12" t="str">
        <x:v>PondGPT threat model and adversarial test</x:v>
      </x:c>
      <x:c r="C13" s="12" t="str">
        <x:v>AI-006</x:v>
      </x:c>
      <x:c r="D13" s="12" t="str">
        <x:v>Demonstrate concrete GenAI/RAG security practice</x:v>
      </x:c>
      <x:c r="E13" s="12" t="str">
        <x:v>Prompt/RAG injection, tool misuse, data exfiltration, privilege tests, results</x:v>
      </x:c>
      <x:c r="F13" s="12" t="str">
        <x:v>P1</x:v>
      </x:c>
    </x:row>
    <x:row r="14">
      <x:c r="A14" s="12" t="str">
        <x:v>E-013</x:v>
      </x:c>
      <x:c r="B14" s="12" t="str">
        <x:v>Completed AIBOM baseline</x:v>
      </x:c>
      <x:c r="C14" s="12" t="str">
        <x:v>AI-006 or AI-002</x:v>
      </x:c>
      <x:c r="D14" s="12" t="str">
        <x:v>Bind testing to exact technology</x:v>
      </x:c>
      <x:c r="E14" s="12" t="str">
        <x:v>Model/version, embedding, vector store, connectors, hashes/config IDs, licenses</x:v>
      </x:c>
      <x:c r="F14" s="12" t="str">
        <x:v>P1</x:v>
      </x:c>
    </x:row>
    <x:row r="15">
      <x:c r="A15" s="12" t="str">
        <x:v>E-014</x:v>
      </x:c>
      <x:c r="B15" s="12" t="str">
        <x:v>DuckTalent privacy data-flow / ROPA crosswalk</x:v>
      </x:c>
      <x:c r="C15" s="12" t="str">
        <x:v>AI-005</x:v>
      </x:c>
      <x:c r="D15" s="12" t="str">
        <x:v>Operationalize DPIA facts</x:v>
      </x:c>
      <x:c r="E15" s="12" t="str">
        <x:v>Purpose, data categories, sources, recipients, roles, location, retention, rights</x:v>
      </x:c>
      <x:c r="F15" s="12" t="str">
        <x:v>P1</x:v>
      </x:c>
    </x:row>
    <x:row r="16">
      <x:c r="A16" s="12" t="str">
        <x:v>E-015</x:v>
      </x:c>
      <x:c r="B16" s="12" t="str">
        <x:v>DPIA screening records</x:v>
      </x:c>
      <x:c r="C16" s="12" t="str">
        <x:v>AI-002/AI-006</x:v>
      </x:c>
      <x:c r="D16" s="12" t="str">
        <x:v>Prove privacy intake works beyond DuckTalent</x:v>
      </x:c>
      <x:c r="E16" s="12" t="str">
        <x:v>Threshold screen, rationale, DPO review, outcome, trigger conditions</x:v>
      </x:c>
      <x:c r="F16" s="12" t="str">
        <x:v>P1</x:v>
      </x:c>
    </x:row>
    <x:row r="17">
      <x:c r="A17" s="12" t="str">
        <x:v>E-016</x:v>
      </x:c>
      <x:c r="B17" s="12" t="str">
        <x:v>Completed synthetic vendor due-diligence pack</x:v>
      </x:c>
      <x:c r="C17" s="12" t="str">
        <x:v>One third-party AI vendor</x:v>
      </x:c>
      <x:c r="D17" s="12" t="str">
        <x:v>Demonstrate third-party control execution</x:v>
      </x:c>
      <x:c r="E17" s="12" t="str">
        <x:v>Security, privacy, data use, training, subprocessors, changes, incident, exit, open actions</x:v>
      </x:c>
      <x:c r="F17" s="12" t="str">
        <x:v>P1</x:v>
      </x:c>
    </x:row>
    <x:row r="18">
      <x:c r="A18" s="12" t="str">
        <x:v>E-017</x:v>
      </x:c>
      <x:c r="B18" s="12" t="str">
        <x:v>Vendor DPA/contract evidence sample</x:v>
      </x:c>
      <x:c r="C18" s="12" t="str">
        <x:v>One third-party AI vendor</x:v>
      </x:c>
      <x:c r="D18" s="12" t="str">
        <x:v>Distinguish template from executed control</x:v>
      </x:c>
      <x:c r="E18" s="12" t="str">
        <x:v>Completed schedules, roles, data use, retention, subprocessors, transfer, deletion, change notice</x:v>
      </x:c>
      <x:c r="F18" s="12" t="str">
        <x:v>P1</x:v>
      </x:c>
    </x:row>
    <x:row r="19">
      <x:c r="A19" s="12" t="str">
        <x:v>E-018</x:v>
      </x:c>
      <x:c r="B19" s="12" t="str">
        <x:v>Human-oversight effectiveness test</x:v>
      </x:c>
      <x:c r="C19" s="12" t="str">
        <x:v>AI-005 or AI-001</x:v>
      </x:c>
      <x:c r="D19" s="12" t="str">
        <x:v>Prove meaningful review</x:v>
      </x:c>
      <x:c r="E19" s="12" t="str">
        <x:v>User tasks, source access, time, override cases, automation-bias observations, retraining/actions</x:v>
      </x:c>
      <x:c r="F19" s="12" t="str">
        <x:v>P1</x:v>
      </x:c>
    </x:row>
    <x:row r="20">
      <x:c r="A20" s="12" t="str">
        <x:v>E-019</x:v>
      </x:c>
      <x:c r="B20" s="12" t="str">
        <x:v>Metric dictionary</x:v>
      </x:c>
      <x:c r="C20" s="12" t="str">
        <x:v>Portfolio-wide</x:v>
      </x:c>
      <x:c r="D20" s="12" t="str">
        <x:v>Make KPIs/KRIs auditable</x:v>
      </x:c>
      <x:c r="E20" s="12" t="str">
        <x:v>Definition, formula, source, owner, threshold, window, action, evidence retention</x:v>
      </x:c>
      <x:c r="F20" s="12" t="str">
        <x:v>P1</x:v>
      </x:c>
    </x:row>
    <x:row r="21">
      <x:c r="A21" s="12" t="str">
        <x:v>E-020</x:v>
      </x:c>
      <x:c r="B21" s="12" t="str">
        <x:v>Worked monitoring report</x:v>
      </x:c>
      <x:c r="C21" s="12" t="str">
        <x:v>AI-003 or AI-004</x:v>
      </x:c>
      <x:c r="D21" s="12" t="str">
        <x:v>Show operation of monitoring controls</x:v>
      </x:c>
      <x:c r="E21" s="12" t="str">
        <x:v>Period, metrics, thresholds, exceptions, actions, sign-off</x:v>
      </x:c>
      <x:c r="F21" s="12" t="str">
        <x:v>P1</x:v>
      </x:c>
    </x:row>
    <x:row r="22">
      <x:c r="A22" s="12" t="str">
        <x:v>E-021</x:v>
      </x:c>
      <x:c r="B22" s="12" t="str">
        <x:v>Shadow-AI discovery case</x:v>
      </x:c>
      <x:c r="C22" s="12" t="str">
        <x:v>AI-007</x:v>
      </x:c>
      <x:c r="D22" s="12" t="str">
        <x:v>Support 'discovered' condition</x:v>
      </x:c>
      <x:c r="E22" s="12" t="str">
        <x:v>Synthetic telemetry/event, tool, user/business context, data class, containment, registration outcome</x:v>
      </x:c>
      <x:c r="F22" s="12" t="str">
        <x:v>P1</x:v>
      </x:c>
    </x:row>
    <x:row r="23">
      <x:c r="A23" s="12" t="str">
        <x:v>E-022</x:v>
      </x:c>
      <x:c r="B23" s="12" t="str">
        <x:v>AI incident tabletop evidence</x:v>
      </x:c>
      <x:c r="C23" s="12" t="str">
        <x:v>Portfolio-wide</x:v>
      </x:c>
      <x:c r="D23" s="12" t="str">
        <x:v>Show incident process operation</x:v>
      </x:c>
      <x:c r="E23" s="12" t="str">
        <x:v>Scenario, participants, injects, timings, evidence preservation, gaps, action owners, retest</x:v>
      </x:c>
      <x:c r="F23" s="12" t="str">
        <x:v>P2</x:v>
      </x:c>
    </x:row>
    <x:row r="24">
      <x:c r="A24" s="12" t="str">
        <x:v>E-023</x:v>
      </x:c>
      <x:c r="B24" s="12" t="str">
        <x:v>Independent audit workpaper</x:v>
      </x:c>
      <x:c r="C24" s="12" t="str">
        <x:v>One mature control</x:v>
      </x:c>
      <x:c r="D24" s="12" t="str">
        <x:v>Demonstrate assurance readiness</x:v>
      </x:c>
      <x:c r="E24" s="12" t="str">
        <x:v>Objective, population, sample, evidence, test, exceptions, conclusion</x:v>
      </x:c>
      <x:c r="F24" s="12" t="str">
        <x:v>P2</x:v>
      </x:c>
    </x:row>
    <x:row r="25">
      <x:c r="A25" s="12" t="str">
        <x:v>E-024</x:v>
      </x:c>
      <x:c r="B25" s="12" t="str">
        <x:v>Acceptance-results register</x:v>
      </x:c>
      <x:c r="C25" s="12" t="str">
        <x:v>Portfolio-wide</x:v>
      </x:c>
      <x:c r="D25" s="12" t="str">
        <x:v>Prove project completion criteria</x:v>
      </x:c>
      <x:c r="E25" s="12" t="str">
        <x:v>AC ID, status, evidence ID, owner, approver, open action, due date</x:v>
      </x:c>
      <x:c r="F25" s="12" t="str">
        <x:v>P1</x:v>
      </x:c>
    </x:row>
    <x:row r="26">
      <x:c r="A26" s="12" t="str">
        <x:v>E-025</x:v>
      </x:c>
      <x:c r="B26" s="12" t="str">
        <x:v>Legal source verification log</x:v>
      </x:c>
      <x:c r="C26" s="12" t="str">
        <x:v>Portfolio-wide</x:v>
      </x:c>
      <x:c r="D26" s="12" t="str">
        <x:v>Make current legal research auditable</x:v>
      </x:c>
      <x:c r="E26" s="12" t="str">
        <x:v>Source/provision, official identifier, checked date, reviewer, applicability caveat, next review</x:v>
      </x:c>
      <x:c r="F26" s="12" t="str">
        <x:v>P1</x:v>
      </x:c>
    </x:row>
  </x:sheetData>
  <x:pageMargins left="0.7" right="0.7" top="0.75" bottom="0.75" header="0.3" footer="0.3"/>
  <x:tableParts count="1">
    <x:tablePart xmlns:r="http://schemas.openxmlformats.org/officeDocument/2006/relationships" r:id="Rafce36670b954308"/>
  </x:tableParts>
</x:worksheet>
</file>

<file path=xl/worksheets/sheet5.xml><?xml version="1.0" encoding="utf-8"?>
<x:worksheet xmlns:x="http://schemas.openxmlformats.org/spreadsheetml/2006/main">
  <x:sheetFormatPr defaultRowHeight="15"/>
  <x:cols>
    <x:col min="1" max="1" width="22" hidden="0" customWidth="1"/>
    <x:col min="2" max="2" width="48" hidden="0" customWidth="1"/>
    <x:col min="3" max="3" width="66" hidden="0" customWidth="1"/>
    <x:col min="4" max="4" width="46" hidden="0" customWidth="1"/>
  </x:cols>
  <x:sheetData>
    <x:row r="1">
      <x:c r="A1" s="3" t="str">
        <x:v>Claim Area</x:v>
      </x:c>
      <x:c r="B1" s="3" t="str">
        <x:v>Do Not Say</x:v>
      </x:c>
      <x:c r="C1" s="3" t="str">
        <x:v>Defensible Current Wording</x:v>
      </x:c>
      <x:c r="D1" s="3" t="str">
        <x:v>Reason</x:v>
      </x:c>
    </x:row>
    <x:row r="2">
      <x:c r="A2" s="12" t="str">
        <x:v>Risk scoring</x:v>
      </x:c>
      <x:c r="B2" s="12" t="str">
        <x:v>All seven systems have been formally assessed under the approved methodology.</x:v>
      </x:c>
      <x:c r="C2" s="12" t="str">
        <x:v>The portfolio contains completed scenario-based risk assessments, but the authoritative scoring/approval chronology must be reconciled with the newer draft workbook.</x:v>
      </x:c>
      <x:c r="D2" s="12" t="str">
        <x:v>v0.9 says zero systems formally scored.</x:v>
      </x:c>
    </x:row>
    <x:row r="3">
      <x:c r="A3" s="12" t="str">
        <x:v>Controls</x:v>
      </x:c>
      <x:c r="B3" s="12" t="str">
        <x:v>The implemented controls are proven effective.</x:v>
      </x:c>
      <x:c r="C3" s="12" t="str">
        <x:v>The control library distinguishes design, planned and baseline-credited controls; several operating-effectiveness claims still require evidence.</x:v>
      </x:c>
      <x:c r="D3" s="12" t="str">
        <x:v>Implemented/partially implemented often lacks direct evidence.</x:v>
      </x:c>
    </x:row>
    <x:row r="4">
      <x:c r="A4" s="12" t="str">
        <x:v>DuckDesign</x:v>
      </x:c>
      <x:c r="B4" s="12" t="str">
        <x:v>Competent engineer review is operating effectively.</x:v>
      </x:c>
      <x:c r="C4" s="12" t="str">
        <x:v>Competent engineer review is a critical governance requirement and baseline assumption that still requires validation.</x:v>
      </x:c>
      <x:c r="D4" s="12" t="str">
        <x:v>ASM-007 is Open Critical.</x:v>
      </x:c>
    </x:row>
    <x:row r="5">
      <x:c r="A5" s="12" t="str">
        <x:v>WingInspect</x:v>
      </x:c>
      <x:c r="B5" s="12" t="str">
        <x:v>Human inspectors definitively retain final authority in operation.</x:v>
      </x:c>
      <x:c r="C5" s="12" t="str">
        <x:v>Human final authority is the intended restriction and must be evidenced before safety reliance expands.</x:v>
      </x:c>
      <x:c r="D5" s="12" t="str">
        <x:v>ASM-008 is Open Critical.</x:v>
      </x:c>
    </x:row>
    <x:row r="6">
      <x:c r="A6" s="12" t="str">
        <x:v>PondGPT</x:v>
      </x:c>
      <x:c r="B6" s="12" t="str">
        <x:v>RAG permissions are proven to inherit source access.</x:v>
      </x:c>
      <x:c r="C6" s="12" t="str">
        <x:v>Permission inheritance is a critical control assumption pending architecture and regression-test evidence.</x:v>
      </x:c>
      <x:c r="D6" s="12" t="str">
        <x:v>ASM-009/ASM-030 open.</x:v>
      </x:c>
    </x:row>
    <x:row r="7">
      <x:c r="A7" s="12" t="str">
        <x:v>FeatherForecast</x:v>
      </x:c>
      <x:c r="B7" s="12" t="str">
        <x:v>This is a fully evidenced mature production system.</x:v>
      </x:c>
      <x:c r="C7" s="12" t="str">
        <x:v>It is the portfolio's production baseline, but direct operating/model/test evidence should be added before calling evidence confidence High.</x:v>
      </x:c>
      <x:c r="D7" s="12" t="str">
        <x:v>AIA evidence limitations conflict with High confidence.</x:v>
      </x:c>
    </x:row>
    <x:row r="8">
      <x:c r="A8" s="12" t="str">
        <x:v>Vendor facts</x:v>
      </x:c>
      <x:c r="B8" s="12" t="str">
        <x:v>DuckTalent uses MeritPath / WingInspect uses VisiCore as confirmed facts.</x:v>
      </x:c>
      <x:c r="C8" s="12" t="str">
        <x:v>The newer synthetic inventory introduces fictional vendors as Open assumptions to make the scenario operationally realistic.</x:v>
      </x:c>
      <x:c r="D8" s="12" t="str">
        <x:v>New vendor assumptions are Open.</x:v>
      </x:c>
    </x:row>
    <x:row r="9">
      <x:c r="A9" s="12" t="str">
        <x:v>Shadow AI</x:v>
      </x:c>
      <x:c r="B9" s="12" t="str">
        <x:v>We discovered widespread real employee misuse.</x:v>
      </x:c>
      <x:c r="C9" s="12" t="str">
        <x:v>The fictional scenario includes a synthetic shadow-AI discovery condition used to demonstrate containment and decomposition governance.</x:v>
      </x:c>
      <x:c r="D9" s="12" t="str">
        <x:v>No real telemetry or users exist.</x:v>
      </x:c>
    </x:row>
    <x:row r="10">
      <x:c r="A10" s="12" t="str">
        <x:v>EU AI Act</x:v>
      </x:c>
      <x:c r="B10" s="12" t="str">
        <x:v>Duckworks is compliant with the EU AI Act.</x:v>
      </x:c>
      <x:c r="C10" s="12" t="str">
        <x:v>The portfolio performs preliminary applicability screening using public sources; system-specific legal conclusions remain conditional and require current-source/legal verification.</x:v>
      </x:c>
      <x:c r="D10" s="12" t="str">
        <x:v>No compliance/conformity claim is supported.</x:v>
      </x:c>
    </x:row>
    <x:row r="11">
      <x:c r="A11" s="12" t="str">
        <x:v>ISO/IEC 42001</x:v>
      </x:c>
      <x:c r="B11" s="12" t="str">
        <x:v>The portfolio is ISO/IEC 42001 compliant/certifiable.</x:v>
      </x:c>
      <x:c r="C11" s="12" t="str">
        <x:v>The portfolio is designed with management-system concepts informed by public ISO descriptions; it does not claim conformity or certification.</x:v>
      </x:c>
      <x:c r="D11" s="12" t="str">
        <x:v>No clause-level conformity evidence.</x:v>
      </x:c>
    </x:row>
    <x:row r="12">
      <x:c r="A12" s="12" t="str">
        <x:v>ISO/IEC 27001</x:v>
      </x:c>
      <x:c r="B12" s="12" t="str">
        <x:v>The control library proves ISO 27001 compliance.</x:v>
      </x:c>
      <x:c r="C12" s="12" t="str">
        <x:v>The project references ISO 27001 concepts and should demonstrate how existing ISMS controls/evidence are extended for AI.</x:v>
      </x:c>
      <x:c r="D12" s="12" t="str">
        <x:v>Mappings are design crosswalks.</x:v>
      </x:c>
    </x:row>
    <x:row r="13">
      <x:c r="A13" s="12" t="str">
        <x:v>DPIA</x:v>
      </x:c>
      <x:c r="B13" s="12" t="str">
        <x:v>DuckTalent's DPIA is complete and approved.</x:v>
      </x:c>
      <x:c r="C13" s="12" t="str">
        <x:v>The DuckTalent DPIA is a draft pre-deployment assessment with blocking facts and actions still open.</x:v>
      </x:c>
      <x:c r="D13" s="12" t="str">
        <x:v>Lawful basis, roles, flows and other facts unresolved.</x:v>
      </x:c>
    </x:row>
    <x:row r="14">
      <x:c r="A14" s="12" t="str">
        <x:v>Third-party risk</x:v>
      </x:c>
      <x:c r="B14" s="12" t="str">
        <x:v>Vendor due diligence is implemented across the portfolio.</x:v>
      </x:c>
      <x:c r="C14" s="12" t="str">
        <x:v>Templates and control design exist; system-specific execution evidence is incomplete.</x:v>
      </x:c>
      <x:c r="D14" s="12" t="str">
        <x:v>AI-TPR-01 status note admits incomplete evidence.</x:v>
      </x:c>
    </x:row>
    <x:row r="15">
      <x:c r="A15" s="12" t="str">
        <x:v>Governance operations</x:v>
      </x:c>
      <x:c r="B15" s="12" t="str">
        <x:v>The AI Governance Committee is fully operating.</x:v>
      </x:c>
      <x:c r="C15" s="12" t="str">
        <x:v>The governance committee/RACI/decision model is designed; operating minutes and recurring decision evidence should be added.</x:v>
      </x:c>
      <x:c r="D15" s="12" t="str">
        <x:v>Design and operational status are not consistently distinguished.</x:v>
      </x:c>
    </x:row>
    <x:row r="16">
      <x:c r="A16" s="12" t="str">
        <x:v>Project completion</x:v>
      </x:c>
      <x:c r="B16" s="12" t="str">
        <x:v>The project has met all acceptance criteria.</x:v>
      </x:c>
      <x:c r="C16" s="12" t="str">
        <x:v>The project has defined evidence-based acceptance criteria; a completed acceptance-results register is still required after reconciliation.</x:v>
      </x:c>
      <x:c r="D16" s="12" t="str">
        <x:v>No reviewed pass/fail acceptance record.</x:v>
      </x:c>
    </x:row>
  </x:sheetData>
  <x:pageMargins left="0.7" right="0.7" top="0.75" bottom="0.75" header="0.3" footer="0.3"/>
  <x:tableParts count="1">
    <x:tablePart xmlns:r="http://schemas.openxmlformats.org/officeDocument/2006/relationships" r:id="Re42ef251db2447f5"/>
  </x:tableParts>
</x:worksheet>
</file>

<file path=xl/worksheets/sheet6.xml><?xml version="1.0" encoding="utf-8"?>
<x:worksheet xmlns:x="http://schemas.openxmlformats.org/spreadsheetml/2006/main">
  <x:sheetFormatPr defaultRowHeight="15"/>
  <x:cols>
    <x:col min="1" max="1" width="52" hidden="0" customWidth="1"/>
    <x:col min="2" max="2" width="36" hidden="0" customWidth="1"/>
    <x:col min="3" max="3" width="72" hidden="0" customWidth="1"/>
  </x:cols>
  <x:sheetData>
    <x:row r="1">
      <x:c r="A1" s="3" t="str">
        <x:v>Source Artifact</x:v>
      </x:c>
      <x:c r="B1" s="3" t="str">
        <x:v>Primary Review Use</x:v>
      </x:c>
      <x:c r="C1" s="3" t="str">
        <x:v>Key Skeptical Issue / Strength</x:v>
      </x:c>
    </x:row>
    <x:row r="2">
      <x:c r="A2" s="12" t="str">
        <x:v>Duckworks_Project_Assumptions_Register_v1.0.docx</x:v>
      </x:c>
      <x:c r="B2" s="12" t="str">
        <x:v>Assumption status and validation boundary</x:v>
      </x:c>
      <x:c r="C2" s="12" t="str">
        <x:v>Strong discipline, but Open Critical assumptions are still used in some residual-risk/control claims.</x:v>
      </x:c>
    </x:row>
    <x:row r="3">
      <x:c r="A3" s="12" t="str">
        <x:v>Duckworks_Project_Acceptance_Criteria_v1.0.docx</x:v>
      </x:c>
      <x:c r="B3" s="12" t="str">
        <x:v>Project evidence standard and completion criteria</x:v>
      </x:c>
      <x:c r="C3" s="12" t="str">
        <x:v>Strong criteria; no completed pass/fail acceptance record reviewed.</x:v>
      </x:c>
    </x:row>
    <x:row r="4">
      <x:c r="A4" s="12" t="str">
        <x:v>Duckworks_Project_Required_Deliverables_v1.0.docx</x:v>
      </x:c>
      <x:c r="B4" s="12" t="str">
        <x:v>Master artifact status</x:v>
      </x:c>
      <x:c r="C4" s="12" t="str">
        <x:v>Stale: many later-created artifacts remain Planned/Required.</x:v>
      </x:c>
    </x:row>
    <x:row r="5">
      <x:c r="A5" s="12" t="str">
        <x:v>Duckworks_AI_Risk_Classification_Assessment_Methodology_v1.0.docx</x:v>
      </x:c>
      <x:c r="B5" s="12" t="str">
        <x:v>Original scoring method</x:v>
      </x:c>
      <x:c r="C5" s="12" t="str">
        <x:v>Uses product scores and bands; later draft changes semantics.</x:v>
      </x:c>
    </x:row>
    <x:row r="6">
      <x:c r="A6" s="12" t="str">
        <x:v>Duckworks_AI_Risk_Assessment_Report_v1.0.docx</x:v>
      </x:c>
      <x:c r="B6" s="12" t="str">
        <x:v>Scored portfolio decisions</x:v>
      </x:c>
      <x:c r="C6" s="12" t="str">
        <x:v>All seven scored; control credit/evidence challenged.</x:v>
      </x:c>
    </x:row>
    <x:row r="7">
      <x:c r="A7" s="12" t="str">
        <x:v>Duckworks_AI_Risk_Assessment_Workbook_Draft_v0.9.xlsx</x:v>
      </x:c>
      <x:c r="B7" s="12" t="str">
        <x:v>Newer draft risk method</x:v>
      </x:c>
      <x:c r="C7" s="12" t="str">
        <x:v>Explicitly says zero systems formally scored and matrix band is authoritative.</x:v>
      </x:c>
    </x:row>
    <x:row r="8">
      <x:c r="A8" s="12" t="str">
        <x:v>Duckworks_AI_Asset_Inventory_v1.0.xlsx</x:v>
      </x:c>
      <x:c r="B8" s="12" t="str">
        <x:v>Detailed system source</x:v>
      </x:c>
      <x:c r="C8" s="12" t="str">
        <x:v>Contains risk/control/evidence status and older vendor/owner facts.</x:v>
      </x:c>
    </x:row>
    <x:row r="9">
      <x:c r="A9" s="12" t="str">
        <x:v>Duckworks_Synthetic_AI_System_Inventory_v1.0.xlsx</x:v>
      </x:c>
      <x:c r="B9" s="12" t="str">
        <x:v>Newer six-system inventory</x:v>
      </x:c>
      <x:c r="C9" s="12" t="str">
        <x:v>Introduces Open vendor/architecture assumptions and ownership drift.</x:v>
      </x:c>
    </x:row>
    <x:row r="10">
      <x:c r="A10" s="12" t="str">
        <x:v>Duckworks_AI_Control_Library_v1.0.xlsx</x:v>
      </x:c>
      <x:c r="B10" s="12" t="str">
        <x:v>Control design/status/testing</x:v>
      </x:c>
      <x:c r="C10" s="12" t="str">
        <x:v>Excellent structure; status/effectiveness/evidence semantics need tightening.</x:v>
      </x:c>
    </x:row>
    <x:row r="11">
      <x:c r="A11" s="12" t="str">
        <x:v>Duckworks_AI_Bill_of_Materials_Register_v1.0.xlsx</x:v>
      </x:c>
      <x:c r="B11" s="12" t="str">
        <x:v>Technical dependency inventory</x:v>
      </x:c>
      <x:c r="C11" s="12" t="str">
        <x:v>Many exact component/version/license/hash fields remain TBD/Partial.</x:v>
      </x:c>
    </x:row>
    <x:row r="12">
      <x:c r="A12" s="12" t="str">
        <x:v>Duckworks_AI_Business_Use_Case_Portfolio_v1.0.docx</x:v>
      </x:c>
      <x:c r="B12" s="12" t="str">
        <x:v>Product/business rationale</x:v>
      </x:c>
      <x:c r="C12" s="12" t="str">
        <x:v>Correctly avoids invented ROI; business baselines/targets remain TBD.</x:v>
      </x:c>
    </x:row>
    <x:row r="13">
      <x:c r="A13" s="12" t="str">
        <x:v>Duckworks_GDPR_Data_Protection_Impact_Assessment_DuckTalent_v1.0.docx</x:v>
      </x:c>
      <x:c r="B13" s="12" t="str">
        <x:v>Privacy assessment</x:v>
      </x:c>
      <x:c r="C13" s="12" t="str">
        <x:v>Strong structure and caveats; draft with key processing facts unresolved.</x:v>
      </x:c>
    </x:row>
    <x:row r="14">
      <x:c r="A14" s="12" t="str">
        <x:v>Duckworks_EU_Fundamental_Rights_Impact_Assessment_DuckTalent_v1.0.docx</x:v>
      </x:c>
      <x:c r="B14" s="12" t="str">
        <x:v>EU fundamental-rights analysis</x:v>
      </x:c>
      <x:c r="C14" s="12" t="str">
        <x:v>Careful voluntary/mandatory separation; reinforces document-sprawl concern.</x:v>
      </x:c>
    </x:row>
    <x:row r="15">
      <x:c r="A15" s="12" t="str">
        <x:v>Duckworks_HUDERIA_Assessment_Pack_Index_v1.0.docx and related</x:v>
      </x:c>
      <x:c r="B15" s="12" t="str">
        <x:v>Human-rights methodology</x:v>
      </x:c>
      <x:c r="C15" s="12" t="str">
        <x:v>Well bounded as guidance; many draft/planned evidence elements.</x:v>
      </x:c>
    </x:row>
    <x:row r="16">
      <x:c r="A16" s="12" t="str">
        <x:v>Duckworks_AI_Model_Documentation_DuckTalent_v1.0.docx</x:v>
      </x:c>
      <x:c r="B16" s="12" t="str">
        <x:v>Blocking model evidence</x:v>
      </x:c>
      <x:c r="C16" s="12" t="str">
        <x:v>Useful explicit list of evidence that is not yet evidenced.</x:v>
      </x:c>
    </x:row>
    <x:row r="17">
      <x:c r="A17" s="12" t="str">
        <x:v>Duckworks_AI_Governance_Lifecycle_SOP_v1.0.docx</x:v>
      </x:c>
      <x:c r="B17" s="12" t="str">
        <x:v>Lifecycle operations</x:v>
      </x:c>
      <x:c r="C17" s="12" t="str">
        <x:v>Good design; status is draft/simulated rather than demonstrated operation.</x:v>
      </x:c>
    </x:row>
    <x:row r="18">
      <x:c r="A18" s="12" t="str">
        <x:v>Duckworks_AI_Change_Management_Process_Documentation_Pack_v1.0.docx</x:v>
      </x:c>
      <x:c r="B18" s="12" t="str">
        <x:v>Change governance</x:v>
      </x:c>
      <x:c r="C18" s="12" t="str">
        <x:v>Strong process design; no worked execution tied to newer material assumptions reviewed.</x:v>
      </x:c>
    </x:row>
    <x:row r="19">
      <x:c r="A19" s="12" t="str">
        <x:v>Duckworks_AI_Data_Processing_Agreement_Template_v1.0.docx</x:v>
      </x:c>
      <x:c r="B19" s="12" t="str">
        <x:v>Third-party privacy contract design</x:v>
      </x:c>
      <x:c r="C19" s="12" t="str">
        <x:v>Template only, not executed supplier evidence.</x:v>
      </x:c>
    </x:row>
    <x:row r="20">
      <x:c r="A20" s="12" t="str">
        <x:v>Duckworks_Public_Frameworks_Legislation_Links.md</x:v>
      </x:c>
      <x:c r="B20" s="12" t="str">
        <x:v>Source hierarchy</x:v>
      </x:c>
      <x:c r="C20" s="12" t="str">
        <x:v>Strong law/framework separation; legal verification trail could be more auditable.</x:v>
      </x:c>
    </x:row>
    <x:row r="21">
      <x:c r="A21" s="12" t="str">
        <x:v>Duckworks AI Governance Readiness Assessment.pdf</x:v>
      </x:c>
      <x:c r="B21" s="12" t="str">
        <x:v>Executive narrative</x:v>
      </x:c>
      <x:c r="C21" s="12" t="str">
        <x:v>Useful summary, but terms like findings/current residual can sound empirical despite synthetic/no technical testing boundary.</x:v>
      </x:c>
    </x:row>
  </x:sheetData>
  <x:pageMargins left="0.7" right="0.7" top="0.75" bottom="0.75" header="0.3" footer="0.3"/>
  <x:tableParts count="1">
    <x:tablePart xmlns:r="http://schemas.openxmlformats.org/officeDocument/2006/relationships" r:id="R3afe48d4112a4140"/>
  </x:tableParts>
</x:worksheet>
</file>

<file path=xl/worksheets/sheet7.xml><?xml version="1.0" encoding="utf-8"?>
<x:worksheet xmlns:x="http://schemas.openxmlformats.org/spreadsheetml/2006/main">
  <x:sheetFormatPr defaultRowHeight="15"/>
  <x:sheetData>
    <x:row r="1">
      <x:c r="A1" s="23" t="str">
        <x:v>Finding ID</x:v>
      </x:c>
      <x:c r="B1" s="23" t="str">
        <x:v>AI governance hiring manager</x:v>
      </x:c>
      <x:c r="C1" s="23" t="str">
        <x:v>Internal auditor</x:v>
      </x:c>
      <x:c r="D1" s="23" t="str">
        <x:v>CISO</x:v>
      </x:c>
      <x:c r="E1" s="23" t="str">
        <x:v>Data protection specialist</x:v>
      </x:c>
      <x:c r="F1" s="23" t="str">
        <x:v>AI product owner</x:v>
      </x:c>
    </x:row>
    <x:row r="2">
      <x:c r="A2" t="str">
        <x:v>F-001</x:v>
      </x:c>
      <x:c r="B2" t="n">
        <x:v>1</x:v>
      </x:c>
      <x:c r="C2" t="n">
        <x:v>1</x:v>
      </x:c>
      <x:c r="D2" t="n">
        <x:v>0</x:v>
      </x:c>
      <x:c r="E2" t="n">
        <x:v>0</x:v>
      </x:c>
      <x:c r="F2" t="n">
        <x:v>0</x:v>
      </x:c>
    </x:row>
    <x:row r="3">
      <x:c r="A3" t="str">
        <x:v>F-002</x:v>
      </x:c>
      <x:c r="B3" t="n">
        <x:v>1</x:v>
      </x:c>
      <x:c r="C3" t="n">
        <x:v>1</x:v>
      </x:c>
      <x:c r="D3" t="n">
        <x:v>0</x:v>
      </x:c>
      <x:c r="E3" t="n">
        <x:v>0</x:v>
      </x:c>
      <x:c r="F3" t="n">
        <x:v>0</x:v>
      </x:c>
    </x:row>
    <x:row r="4">
      <x:c r="A4" t="str">
        <x:v>F-003</x:v>
      </x:c>
      <x:c r="B4" t="n">
        <x:v>1</x:v>
      </x:c>
      <x:c r="C4" t="n">
        <x:v>1</x:v>
      </x:c>
      <x:c r="D4" t="n">
        <x:v>1</x:v>
      </x:c>
      <x:c r="E4" t="n">
        <x:v>0</x:v>
      </x:c>
      <x:c r="F4" t="n">
        <x:v>0</x:v>
      </x:c>
    </x:row>
    <x:row r="5">
      <x:c r="A5" t="str">
        <x:v>F-004</x:v>
      </x:c>
      <x:c r="B5" t="n">
        <x:v>0</x:v>
      </x:c>
      <x:c r="C5" t="n">
        <x:v>1</x:v>
      </x:c>
      <x:c r="D5" t="n">
        <x:v>1</x:v>
      </x:c>
      <x:c r="E5" t="n">
        <x:v>0</x:v>
      </x:c>
      <x:c r="F5" t="n">
        <x:v>1</x:v>
      </x:c>
    </x:row>
    <x:row r="6">
      <x:c r="A6" t="str">
        <x:v>F-005</x:v>
      </x:c>
      <x:c r="B6" t="n">
        <x:v>0</x:v>
      </x:c>
      <x:c r="C6" t="n">
        <x:v>1</x:v>
      </x:c>
      <x:c r="D6" t="n">
        <x:v>1</x:v>
      </x:c>
      <x:c r="E6" t="n">
        <x:v>0</x:v>
      </x:c>
      <x:c r="F6" t="n">
        <x:v>0</x:v>
      </x:c>
    </x:row>
    <x:row r="7">
      <x:c r="A7" t="str">
        <x:v>F-006</x:v>
      </x:c>
      <x:c r="B7" t="n">
        <x:v>1</x:v>
      </x:c>
      <x:c r="C7" t="n">
        <x:v>1</x:v>
      </x:c>
      <x:c r="D7" t="n">
        <x:v>0</x:v>
      </x:c>
      <x:c r="E7" t="n">
        <x:v>0</x:v>
      </x:c>
      <x:c r="F7" t="n">
        <x:v>1</x:v>
      </x:c>
    </x:row>
    <x:row r="8">
      <x:c r="A8" t="str">
        <x:v>F-007</x:v>
      </x:c>
      <x:c r="B8" t="n">
        <x:v>1</x:v>
      </x:c>
      <x:c r="C8" t="n">
        <x:v>1</x:v>
      </x:c>
      <x:c r="D8" t="n">
        <x:v>0</x:v>
      </x:c>
      <x:c r="E8" t="n">
        <x:v>0</x:v>
      </x:c>
      <x:c r="F8" t="n">
        <x:v>0</x:v>
      </x:c>
    </x:row>
    <x:row r="9">
      <x:c r="A9" t="str">
        <x:v>F-008</x:v>
      </x:c>
      <x:c r="B9" t="n">
        <x:v>1</x:v>
      </x:c>
      <x:c r="C9" t="n">
        <x:v>1</x:v>
      </x:c>
      <x:c r="D9" t="n">
        <x:v>1</x:v>
      </x:c>
      <x:c r="E9" t="n">
        <x:v>0</x:v>
      </x:c>
      <x:c r="F9" t="n">
        <x:v>0</x:v>
      </x:c>
    </x:row>
    <x:row r="10">
      <x:c r="A10" t="str">
        <x:v>F-009</x:v>
      </x:c>
      <x:c r="B10" t="n">
        <x:v>1</x:v>
      </x:c>
      <x:c r="C10" t="n">
        <x:v>1</x:v>
      </x:c>
      <x:c r="D10" t="n">
        <x:v>1</x:v>
      </x:c>
      <x:c r="E10" t="n">
        <x:v>1</x:v>
      </x:c>
      <x:c r="F10" t="n">
        <x:v>0</x:v>
      </x:c>
    </x:row>
    <x:row r="11">
      <x:c r="A11" t="str">
        <x:v>F-010</x:v>
      </x:c>
      <x:c r="B11" t="n">
        <x:v>1</x:v>
      </x:c>
      <x:c r="C11" t="n">
        <x:v>1</x:v>
      </x:c>
      <x:c r="D11" t="n">
        <x:v>0</x:v>
      </x:c>
      <x:c r="E11" t="n">
        <x:v>0</x:v>
      </x:c>
      <x:c r="F11" t="n">
        <x:v>0</x:v>
      </x:c>
    </x:row>
    <x:row r="12">
      <x:c r="A12" t="str">
        <x:v>F-011</x:v>
      </x:c>
      <x:c r="B12" t="n">
        <x:v>1</x:v>
      </x:c>
      <x:c r="C12" t="n">
        <x:v>1</x:v>
      </x:c>
      <x:c r="D12" t="n">
        <x:v>0</x:v>
      </x:c>
      <x:c r="E12" t="n">
        <x:v>0</x:v>
      </x:c>
      <x:c r="F12" t="n">
        <x:v>0</x:v>
      </x:c>
    </x:row>
    <x:row r="13">
      <x:c r="A13" t="str">
        <x:v>F-012</x:v>
      </x:c>
      <x:c r="B13" t="n">
        <x:v>1</x:v>
      </x:c>
      <x:c r="C13" t="n">
        <x:v>1</x:v>
      </x:c>
      <x:c r="D13" t="n">
        <x:v>0</x:v>
      </x:c>
      <x:c r="E13" t="n">
        <x:v>0</x:v>
      </x:c>
      <x:c r="F13" t="n">
        <x:v>0</x:v>
      </x:c>
    </x:row>
    <x:row r="14">
      <x:c r="A14" t="str">
        <x:v>F-013</x:v>
      </x:c>
      <x:c r="B14" t="n">
        <x:v>0</x:v>
      </x:c>
      <x:c r="C14" t="n">
        <x:v>1</x:v>
      </x:c>
      <x:c r="D14" t="n">
        <x:v>1</x:v>
      </x:c>
      <x:c r="E14" t="n">
        <x:v>0</x:v>
      </x:c>
      <x:c r="F14" t="n">
        <x:v>0</x:v>
      </x:c>
    </x:row>
    <x:row r="15">
      <x:c r="A15" t="str">
        <x:v>F-014</x:v>
      </x:c>
      <x:c r="B15" t="n">
        <x:v>1</x:v>
      </x:c>
      <x:c r="C15" t="n">
        <x:v>1</x:v>
      </x:c>
      <x:c r="D15" t="n">
        <x:v>0</x:v>
      </x:c>
      <x:c r="E15" t="n">
        <x:v>0</x:v>
      </x:c>
      <x:c r="F15" t="n">
        <x:v>0</x:v>
      </x:c>
    </x:row>
    <x:row r="16">
      <x:c r="A16" t="str">
        <x:v>F-015</x:v>
      </x:c>
      <x:c r="B16" t="n">
        <x:v>0</x:v>
      </x:c>
      <x:c r="C16" t="n">
        <x:v>1</x:v>
      </x:c>
      <x:c r="D16" t="n">
        <x:v>1</x:v>
      </x:c>
      <x:c r="E16" t="n">
        <x:v>0</x:v>
      </x:c>
      <x:c r="F16" t="n">
        <x:v>0</x:v>
      </x:c>
    </x:row>
    <x:row r="17">
      <x:c r="A17" t="str">
        <x:v>F-016</x:v>
      </x:c>
      <x:c r="B17" t="n">
        <x:v>0</x:v>
      </x:c>
      <x:c r="C17" t="n">
        <x:v>1</x:v>
      </x:c>
      <x:c r="D17" t="n">
        <x:v>1</x:v>
      </x:c>
      <x:c r="E17" t="n">
        <x:v>0</x:v>
      </x:c>
      <x:c r="F17" t="n">
        <x:v>1</x:v>
      </x:c>
    </x:row>
    <x:row r="18">
      <x:c r="A18" t="str">
        <x:v>F-017</x:v>
      </x:c>
      <x:c r="B18" t="n">
        <x:v>1</x:v>
      </x:c>
      <x:c r="C18" t="n">
        <x:v>1</x:v>
      </x:c>
      <x:c r="D18" t="n">
        <x:v>1</x:v>
      </x:c>
      <x:c r="E18" t="n">
        <x:v>0</x:v>
      </x:c>
      <x:c r="F18" t="n">
        <x:v>0</x:v>
      </x:c>
    </x:row>
    <x:row r="19">
      <x:c r="A19" t="str">
        <x:v>F-018</x:v>
      </x:c>
      <x:c r="B19" t="n">
        <x:v>0</x:v>
      </x:c>
      <x:c r="C19" t="n">
        <x:v>1</x:v>
      </x:c>
      <x:c r="D19" t="n">
        <x:v>1</x:v>
      </x:c>
      <x:c r="E19" t="n">
        <x:v>0</x:v>
      </x:c>
      <x:c r="F19" t="n">
        <x:v>0</x:v>
      </x:c>
    </x:row>
    <x:row r="20">
      <x:c r="A20" t="str">
        <x:v>F-019</x:v>
      </x:c>
      <x:c r="B20" t="n">
        <x:v>0</x:v>
      </x:c>
      <x:c r="C20" t="n">
        <x:v>1</x:v>
      </x:c>
      <x:c r="D20" t="n">
        <x:v>0</x:v>
      </x:c>
      <x:c r="E20" t="n">
        <x:v>1</x:v>
      </x:c>
      <x:c r="F20" t="n">
        <x:v>0</x:v>
      </x:c>
    </x:row>
    <x:row r="21">
      <x:c r="A21" t="str">
        <x:v>F-020</x:v>
      </x:c>
      <x:c r="B21" t="n">
        <x:v>1</x:v>
      </x:c>
      <x:c r="C21" t="n">
        <x:v>0</x:v>
      </x:c>
      <x:c r="D21" t="n">
        <x:v>0</x:v>
      </x:c>
      <x:c r="E21" t="n">
        <x:v>1</x:v>
      </x:c>
      <x:c r="F21" t="n">
        <x:v>0</x:v>
      </x:c>
    </x:row>
    <x:row r="22">
      <x:c r="A22" t="str">
        <x:v>F-021</x:v>
      </x:c>
      <x:c r="B22" t="n">
        <x:v>0</x:v>
      </x:c>
      <x:c r="C22" t="n">
        <x:v>1</x:v>
      </x:c>
      <x:c r="D22" t="n">
        <x:v>1</x:v>
      </x:c>
      <x:c r="E22" t="n">
        <x:v>1</x:v>
      </x:c>
      <x:c r="F22" t="n">
        <x:v>0</x:v>
      </x:c>
    </x:row>
    <x:row r="23">
      <x:c r="A23" t="str">
        <x:v>F-022</x:v>
      </x:c>
      <x:c r="B23" t="n">
        <x:v>0</x:v>
      </x:c>
      <x:c r="C23" t="n">
        <x:v>1</x:v>
      </x:c>
      <x:c r="D23" t="n">
        <x:v>0</x:v>
      </x:c>
      <x:c r="E23" t="n">
        <x:v>1</x:v>
      </x:c>
      <x:c r="F23" t="n">
        <x:v>1</x:v>
      </x:c>
    </x:row>
    <x:row r="24">
      <x:c r="A24" t="str">
        <x:v>F-023</x:v>
      </x:c>
      <x:c r="B24" t="n">
        <x:v>0</x:v>
      </x:c>
      <x:c r="C24" t="n">
        <x:v>0</x:v>
      </x:c>
      <x:c r="D24" t="n">
        <x:v>1</x:v>
      </x:c>
      <x:c r="E24" t="n">
        <x:v>1</x:v>
      </x:c>
      <x:c r="F24" t="n">
        <x:v>0</x:v>
      </x:c>
    </x:row>
    <x:row r="25">
      <x:c r="A25" t="str">
        <x:v>F-024</x:v>
      </x:c>
      <x:c r="B25" t="n">
        <x:v>1</x:v>
      </x:c>
      <x:c r="C25" t="n">
        <x:v>1</x:v>
      </x:c>
      <x:c r="D25" t="n">
        <x:v>0</x:v>
      </x:c>
      <x:c r="E25" t="n">
        <x:v>0</x:v>
      </x:c>
      <x:c r="F25" t="n">
        <x:v>1</x:v>
      </x:c>
    </x:row>
    <x:row r="26">
      <x:c r="A26" t="str">
        <x:v>F-025</x:v>
      </x:c>
      <x:c r="B26" t="n">
        <x:v>1</x:v>
      </x:c>
      <x:c r="C26" t="n">
        <x:v>1</x:v>
      </x:c>
      <x:c r="D26" t="n">
        <x:v>0</x:v>
      </x:c>
      <x:c r="E26" t="n">
        <x:v>0</x:v>
      </x:c>
      <x:c r="F26" t="n">
        <x:v>0</x:v>
      </x:c>
    </x:row>
    <x:row r="27">
      <x:c r="A27" t="str">
        <x:v>F-026</x:v>
      </x:c>
      <x:c r="B27" t="n">
        <x:v>0</x:v>
      </x:c>
      <x:c r="C27" t="n">
        <x:v>1</x:v>
      </x:c>
      <x:c r="D27" t="n">
        <x:v>1</x:v>
      </x:c>
      <x:c r="E27" t="n">
        <x:v>0</x:v>
      </x:c>
      <x:c r="F27" t="n">
        <x:v>0</x:v>
      </x:c>
    </x:row>
    <x:row r="28">
      <x:c r="A28" t="str">
        <x:v>F-027</x:v>
      </x:c>
      <x:c r="B28" t="n">
        <x:v>1</x:v>
      </x:c>
      <x:c r="C28" t="n">
        <x:v>0</x:v>
      </x:c>
      <x:c r="D28" t="n">
        <x:v>0</x:v>
      </x:c>
      <x:c r="E28" t="n">
        <x:v>0</x:v>
      </x:c>
      <x:c r="F28" t="n">
        <x:v>1</x:v>
      </x:c>
    </x:row>
    <x:row r="29">
      <x:c r="A29" t="str">
        <x:v>F-028</x:v>
      </x:c>
      <x:c r="B29" t="n">
        <x:v>1</x:v>
      </x:c>
      <x:c r="C29" t="n">
        <x:v>1</x:v>
      </x:c>
      <x:c r="D29" t="n">
        <x:v>0</x:v>
      </x:c>
      <x:c r="E29" t="n">
        <x:v>0</x:v>
      </x:c>
      <x:c r="F29" t="n">
        <x:v>0</x:v>
      </x:c>
    </x:row>
    <x:row r="30">
      <x:c r="A30" t="str">
        <x:v>F-029</x:v>
      </x:c>
      <x:c r="B30" t="n">
        <x:v>1</x:v>
      </x:c>
      <x:c r="C30" t="n">
        <x:v>1</x:v>
      </x:c>
      <x:c r="D30" t="n">
        <x:v>1</x:v>
      </x:c>
      <x:c r="E30" t="n">
        <x:v>0</x:v>
      </x:c>
      <x:c r="F30" t="n">
        <x:v>0</x:v>
      </x:c>
    </x:row>
    <x:row r="31">
      <x:c r="A31" t="str">
        <x:v>F-030</x:v>
      </x:c>
      <x:c r="B31" t="n">
        <x:v>1</x:v>
      </x:c>
      <x:c r="C31" t="n">
        <x:v>0</x:v>
      </x:c>
      <x:c r="D31" t="n">
        <x:v>0</x:v>
      </x:c>
      <x:c r="E31" t="n">
        <x:v>0</x:v>
      </x:c>
      <x:c r="F31" t="n">
        <x:v>0</x:v>
      </x:c>
    </x:row>
    <x:row r="32">
      <x:c r="A32" t="str">
        <x:v>F-031</x:v>
      </x:c>
      <x:c r="B32" t="n">
        <x:v>1</x:v>
      </x:c>
      <x:c r="C32" t="n">
        <x:v>1</x:v>
      </x:c>
      <x:c r="D32" t="n">
        <x:v>0</x:v>
      </x:c>
      <x:c r="E32" t="n">
        <x:v>0</x:v>
      </x:c>
      <x:c r="F32" t="n">
        <x:v>1</x:v>
      </x:c>
    </x:row>
    <x:row r="33">
      <x:c r="A33" t="str">
        <x:v>F-032</x:v>
      </x:c>
      <x:c r="B33" t="n">
        <x:v>1</x:v>
      </x:c>
      <x:c r="C33" t="n">
        <x:v>0</x:v>
      </x:c>
      <x:c r="D33" t="n">
        <x:v>0</x:v>
      </x:c>
      <x:c r="E33" t="n">
        <x:v>1</x:v>
      </x:c>
      <x:c r="F33" t="n">
        <x:v>1</x:v>
      </x:c>
    </x:row>
    <x:row r="34">
      <x:c r="A34" t="str">
        <x:v>F-033</x:v>
      </x:c>
      <x:c r="B34" t="n">
        <x:v>1</x:v>
      </x:c>
      <x:c r="C34" t="n">
        <x:v>1</x:v>
      </x:c>
      <x:c r="D34" t="n">
        <x:v>0</x:v>
      </x:c>
      <x:c r="E34" t="n">
        <x:v>0</x:v>
      </x:c>
      <x:c r="F34" t="n">
        <x:v>0</x:v>
      </x:c>
    </x:row>
    <x:row r="35">
      <x:c r="A35" t="str">
        <x:v>F-034</x:v>
      </x:c>
      <x:c r="B35" t="n">
        <x:v>1</x:v>
      </x:c>
      <x:c r="C35" t="n">
        <x:v>0</x:v>
      </x:c>
      <x:c r="D35" t="n">
        <x:v>0</x:v>
      </x:c>
      <x:c r="E35" t="n">
        <x:v>0</x:v>
      </x:c>
      <x:c r="F35" t="n">
        <x:v>1</x:v>
      </x:c>
    </x:row>
    <x:row r="36">
      <x:c r="A36" t="str">
        <x:v>F-035</x:v>
      </x:c>
      <x:c r="B36" t="n">
        <x:v>0</x:v>
      </x:c>
      <x:c r="C36" t="n">
        <x:v>1</x:v>
      </x:c>
      <x:c r="D36" t="n">
        <x:v>1</x:v>
      </x:c>
      <x:c r="E36" t="n">
        <x:v>0</x:v>
      </x:c>
      <x:c r="F36" t="n">
        <x:v>1</x:v>
      </x:c>
    </x:row>
    <x:row r="37">
      <x:c r="A37" t="str">
        <x:v>F-036</x:v>
      </x:c>
      <x:c r="B37" t="n">
        <x:v>0</x:v>
      </x:c>
      <x:c r="C37" t="n">
        <x:v>1</x:v>
      </x:c>
      <x:c r="D37" t="n">
        <x:v>0</x:v>
      </x:c>
      <x:c r="E37" t="n">
        <x:v>0</x:v>
      </x:c>
      <x:c r="F37" t="n">
        <x:v>1</x:v>
      </x:c>
    </x:row>
    <x:row r="38">
      <x:c r="A38" t="str">
        <x:v>F-037</x:v>
      </x:c>
      <x:c r="B38" t="n">
        <x:v>1</x:v>
      </x:c>
      <x:c r="C38" t="n">
        <x:v>1</x:v>
      </x:c>
      <x:c r="D38" t="n">
        <x:v>0</x:v>
      </x:c>
      <x:c r="E38" t="n">
        <x:v>0</x:v>
      </x:c>
      <x:c r="F38" t="n">
        <x:v>0</x:v>
      </x:c>
    </x:row>
    <x:row r="39">
      <x:c r="A39" t="str">
        <x:v>F-038</x:v>
      </x:c>
      <x:c r="B39" t="n">
        <x:v>1</x:v>
      </x:c>
      <x:c r="C39" t="n">
        <x:v>1</x:v>
      </x:c>
      <x:c r="D39" t="n">
        <x:v>0</x:v>
      </x:c>
      <x:c r="E39" t="n">
        <x:v>0</x:v>
      </x:c>
      <x:c r="F39" t="n">
        <x:v>0</x:v>
      </x:c>
    </x:row>
    <x:row r="40">
      <x:c r="A40" t="str">
        <x:v>F-039</x:v>
      </x:c>
      <x:c r="B40" t="n">
        <x:v>1</x:v>
      </x:c>
      <x:c r="C40" t="n">
        <x:v>1</x:v>
      </x:c>
      <x:c r="D40" t="n">
        <x:v>0</x:v>
      </x:c>
      <x:c r="E40" t="n">
        <x:v>0</x:v>
      </x:c>
      <x:c r="F40" t="n">
        <x:v>0</x:v>
      </x:c>
    </x:row>
    <x:row r="41">
      <x:c r="A41" t="str">
        <x:v>F-040</x:v>
      </x:c>
      <x:c r="B41" t="n">
        <x:v>1</x:v>
      </x:c>
      <x:c r="C41" t="n">
        <x:v>1</x:v>
      </x:c>
      <x:c r="D41" t="n">
        <x:v>0</x:v>
      </x:c>
      <x:c r="E41" t="n">
        <x:v>1</x:v>
      </x:c>
      <x:c r="F41" t="n">
        <x:v>0</x:v>
      </x:c>
    </x:row>
    <x:row r="42">
      <x:c r="A42" t="str">
        <x:v>F-041</x:v>
      </x:c>
      <x:c r="B42" t="n">
        <x:v>1</x:v>
      </x:c>
      <x:c r="C42" t="n">
        <x:v>0</x:v>
      </x:c>
      <x:c r="D42" t="n">
        <x:v>0</x:v>
      </x:c>
      <x:c r="E42" t="n">
        <x:v>1</x:v>
      </x:c>
      <x:c r="F42" t="n">
        <x:v>0</x:v>
      </x:c>
    </x:row>
    <x:row r="43">
      <x:c r="A43" t="str">
        <x:v>F-042</x:v>
      </x:c>
      <x:c r="B43" t="n">
        <x:v>1</x:v>
      </x:c>
      <x:c r="C43" t="n">
        <x:v>0</x:v>
      </x:c>
      <x:c r="D43" t="n">
        <x:v>0</x:v>
      </x:c>
      <x:c r="E43" t="n">
        <x:v>0</x:v>
      </x:c>
      <x:c r="F43" t="n">
        <x:v>0</x:v>
      </x:c>
    </x:row>
    <x:row r="44">
      <x:c r="A44" t="str">
        <x:v>F-043</x:v>
      </x:c>
      <x:c r="B44" t="n">
        <x:v>1</x:v>
      </x:c>
      <x:c r="C44" t="n">
        <x:v>1</x:v>
      </x:c>
      <x:c r="D44" t="n">
        <x:v>0</x:v>
      </x:c>
      <x:c r="E44" t="n">
        <x:v>0</x:v>
      </x:c>
      <x:c r="F44" t="n">
        <x:v>0</x:v>
      </x:c>
    </x:row>
    <x:row r="45">
      <x:c r="A45" t="str">
        <x:v>F-044</x:v>
      </x:c>
      <x:c r="B45" t="n">
        <x:v>1</x:v>
      </x:c>
      <x:c r="C45" t="n">
        <x:v>1</x:v>
      </x:c>
      <x:c r="D45" t="n">
        <x:v>0</x:v>
      </x:c>
      <x:c r="E45" t="n">
        <x:v>0</x:v>
      </x:c>
      <x:c r="F45" t="n">
        <x:v>1</x:v>
      </x:c>
    </x:row>
    <x:row r="46">
      <x:c r="A46" t="str">
        <x:v>F-045</x:v>
      </x:c>
      <x:c r="B46" t="n">
        <x:v>0</x:v>
      </x:c>
      <x:c r="C46" t="n">
        <x:v>1</x:v>
      </x:c>
      <x:c r="D46" t="n">
        <x:v>1</x:v>
      </x:c>
      <x:c r="E46" t="n">
        <x:v>0</x:v>
      </x:c>
      <x:c r="F46" t="n">
        <x:v>0</x:v>
      </x:c>
    </x:row>
    <x:row r="47">
      <x:c r="A47" t="str">
        <x:v>F-046</x:v>
      </x:c>
      <x:c r="B47" t="n">
        <x:v>0</x:v>
      </x:c>
      <x:c r="C47" t="n">
        <x:v>1</x:v>
      </x:c>
      <x:c r="D47" t="n">
        <x:v>1</x:v>
      </x:c>
      <x:c r="E47" t="n">
        <x:v>1</x:v>
      </x:c>
      <x:c r="F47" t="n">
        <x:v>0</x:v>
      </x:c>
    </x:row>
    <x:row r="48">
      <x:c r="A48" t="str">
        <x:v>F-047</x:v>
      </x:c>
      <x:c r="B48" t="n">
        <x:v>1</x:v>
      </x:c>
      <x:c r="C48" t="n">
        <x:v>1</x:v>
      </x:c>
      <x:c r="D48" t="n">
        <x:v>0</x:v>
      </x:c>
      <x:c r="E48" t="n">
        <x:v>0</x:v>
      </x:c>
      <x:c r="F48" t="n">
        <x:v>0</x:v>
      </x:c>
    </x:row>
    <x:row r="49">
      <x:c r="A49" t="str">
        <x:v>F-048</x:v>
      </x:c>
      <x:c r="B49" t="n">
        <x:v>1</x:v>
      </x:c>
      <x:c r="C49" t="n">
        <x:v>1</x:v>
      </x:c>
      <x:c r="D49" t="n">
        <x:v>0</x:v>
      </x:c>
      <x:c r="E49" t="n">
        <x:v>0</x:v>
      </x:c>
      <x:c r="F49" t="n">
        <x:v>0</x:v>
      </x:c>
    </x:row>
    <x:row r="50">
      <x:c r="A50" t="str">
        <x:v>F-049</x:v>
      </x:c>
      <x:c r="B50" t="n">
        <x:v>1</x:v>
      </x:c>
      <x:c r="C50" t="n">
        <x:v>1</x:v>
      </x:c>
      <x:c r="D50" t="n">
        <x:v>0</x:v>
      </x:c>
      <x:c r="E50" t="n">
        <x:v>0</x:v>
      </x:c>
      <x:c r="F50" t="n">
        <x:v>0</x:v>
      </x:c>
    </x:row>
    <x:row r="51">
      <x:c r="A51" t="str">
        <x:v>F-050</x:v>
      </x:c>
      <x:c r="B51" t="n">
        <x:v>0</x:v>
      </x:c>
      <x:c r="C51" t="n">
        <x:v>1</x:v>
      </x:c>
      <x:c r="D51" t="n">
        <x:v>1</x:v>
      </x:c>
      <x:c r="E51" t="n">
        <x:v>0</x:v>
      </x:c>
      <x:c r="F51" t="n">
        <x:v>1</x:v>
      </x:c>
    </x:row>
  </x:sheetData>
  <x:pageMargins left="0.7" right="0.7" top="0.75" bottom="0.75" header="0.3" footer="0.3"/>
</x:worksheet>
</file>