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fc8072d7f5c543ff" /></Relationships>
</file>

<file path=xl/workbook.xml><?xml version="1.0" encoding="utf-8"?>
<x:workbook xmlns:x="http://schemas.openxmlformats.org/spreadsheetml/2006/main">
  <x:sheets>
    <x:sheet xmlns:r="http://schemas.openxmlformats.org/officeDocument/2006/relationships" name="Legal Requirements" sheetId="1" r:id="R6433667ccf1644cb"/>
    <x:sheet xmlns:r="http://schemas.openxmlformats.org/officeDocument/2006/relationships" name="Official Guidance" sheetId="2" r:id="Rdfce2bb144874401"/>
    <x:sheet xmlns:r="http://schemas.openxmlformats.org/officeDocument/2006/relationships" name="Frameworks" sheetId="3" r:id="R8e750df1d6ce4b90"/>
    <x:sheet xmlns:r="http://schemas.openxmlformats.org/officeDocument/2006/relationships" name="System Applicability" sheetId="4" r:id="R0e8e06f4867c46a7"/>
    <x:sheet xmlns:r="http://schemas.openxmlformats.org/officeDocument/2006/relationships" name="Action Register" sheetId="5" r:id="Rb67db5cb7b73423c"/>
    <x:sheet xmlns:r="http://schemas.openxmlformats.org/officeDocument/2006/relationships" name="Timeline" sheetId="6" r:id="Rf6c152de553d4173"/>
    <x:sheet xmlns:r="http://schemas.openxmlformats.org/officeDocument/2006/relationships" name="Governance Practices" sheetId="7" r:id="Rbbe7873900a34b37"/>
    <x:sheet xmlns:r="http://schemas.openxmlformats.org/officeDocument/2006/relationships" name="Project Assumptions" sheetId="8" r:id="R1f3f1bef2dbe4b1a"/>
    <x:sheet xmlns:r="http://schemas.openxmlformats.org/officeDocument/2006/relationships" name="Sources" sheetId="9" r:id="R9121656b2c7d4c03"/>
    <x:sheet xmlns:r="http://schemas.openxmlformats.org/officeDocument/2006/relationships" name="Read Me" sheetId="10" r:id="R194006451ddf4dfc"/>
    <x:sheet xmlns:r="http://schemas.openxmlformats.org/officeDocument/2006/relationships" name="Executive Summary" sheetId="11" r:id="Rf387df0779fd446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7"/>
      <x:color rgb="FFFFFFFF"/>
      <x:name val="Carlito"/>
    </x:font>
    <x:font>
      <x:b/>
      <x:sz val="18"/>
      <x:color rgb="FFFFFFFF"/>
      <x:name val="Carlito"/>
    </x:font>
    <x:font>
      <x:b/>
      <x:sz val="11"/>
      <x:color rgb="FF17324D"/>
      <x:name val="Carlito"/>
    </x:font>
    <x:font>
      <x:b/>
      <x:sz val="12"/>
      <x:color rgb="FFFFFFFF"/>
      <x:name val="Carlito"/>
    </x:font>
  </x:fonts>
  <x:fills count="6">
    <x:fill>
      <x:patternFill patternType="none"/>
    </x:fill>
    <x:fill>
      <x:patternFill patternType="gray125"/>
    </x:fill>
    <x:fill>
      <x:patternFill patternType="solid">
        <x:fgColor rgb="FF17324D"/>
      </x:patternFill>
    </x:fill>
    <x:fill>
      <x:patternFill patternType="solid">
        <x:fgColor rgb="FF2A6F6B"/>
      </x:patternFill>
    </x:fill>
    <x:fill>
      <x:patternFill patternType="solid">
        <x:fgColor rgb="FFEEF4F7"/>
      </x:patternFill>
    </x:fill>
    <x:fill>
      <x:patternFill patternType="solid">
        <x:fgColor rgb="FFF6F8FA"/>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2" borderId="0" xfId="0" applyNumberFormat="1" applyFont="1" applyFill="1" applyBorder="1"/>
    <x:xf numFmtId="0" fontId="5" fillId="2" borderId="1" xfId="0" applyNumberFormat="1" applyFont="1" applyFill="1" applyBorder="1"/>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cellXfs>
  <x:cellStyles count="1">
    <x:cellStyle name="Normal" xfId="0"/>
  </x:cellStyles>
  <x:dxfs count="14">
    <x:dxf>
      <x:fill>
        <x:patternFill patternType="solid">
          <x:bgColor rgb="FFFDECEC"/>
        </x:patternFill>
      </x:fill>
    </x:dxf>
    <x:dxf>
      <x:fill>
        <x:patternFill patternType="solid">
          <x:bgColor rgb="FFFFF2CC"/>
        </x:patternFill>
      </x:fill>
    </x:dxf>
    <x:dxf>
      <x:font>
        <x:b/>
        <x:color rgb="FF9B2C2C"/>
      </x:font>
      <x:fill>
        <x:patternFill patternType="solid">
          <x:bgColor rgb="FFF8D7DA"/>
        </x:patternFill>
      </x:fill>
    </x:dxf>
    <x:dxf>
      <x:fill>
        <x:patternFill patternType="solid">
          <x:bgColor rgb="FFFFF3CD"/>
        </x:patternFill>
      </x:fill>
    </x:dxf>
    <x:dxf>
      <x:fill>
        <x:patternFill patternType="solid">
          <x:bgColor rgb="FFFFF3CD"/>
        </x:patternFill>
      </x:fill>
    </x:dxf>
    <x:dxf>
      <x:fill>
        <x:patternFill patternType="solid">
          <x:bgColor rgb="FFE2F0D9"/>
        </x:patternFill>
      </x:fill>
    </x:dxf>
    <x:dxf>
      <x:font>
        <x:b/>
        <x:color rgb="FF9B2C2C"/>
      </x:font>
      <x:fill>
        <x:patternFill patternType="solid">
          <x:bgColor rgb="FFF4CCCC"/>
        </x:patternFill>
      </x:fill>
    </x:dxf>
    <x:dxf>
      <x:fill>
        <x:patternFill patternType="solid">
          <x:bgColor rgb="FFFCE5CD"/>
        </x:patternFill>
      </x:fill>
    </x:dxf>
    <x:dxf>
      <x:fill>
        <x:patternFill patternType="solid">
          <x:bgColor rgb="FFFFF2CC"/>
        </x:patternFill>
      </x:fill>
    </x:dxf>
    <x:dxf>
      <x:font>
        <x:b/>
        <x:color rgb="FF9B2C2C"/>
      </x:font>
      <x:fill>
        <x:patternFill patternType="solid">
          <x:bgColor rgb="FFF4CCCC"/>
        </x:patternFill>
      </x:fill>
    </x:dxf>
    <x:dxf>
      <x:fill>
        <x:patternFill patternType="solid">
          <x:bgColor rgb="FFFFF2CC"/>
        </x:patternFill>
      </x:fill>
    </x:dxf>
    <x:dxf>
      <x:font>
        <x:color rgb="FF2F6B3C"/>
      </x:font>
      <x:fill>
        <x:patternFill patternType="solid">
          <x:bgColor rgb="FFD9EAD3"/>
        </x:patternFill>
      </x:fill>
    </x:dxf>
    <x:dxf>
      <x:fill>
        <x:patternFill patternType="solid">
          <x:bgColor rgb="FFFFF2CC"/>
        </x:patternFill>
      </x:fill>
    </x:dxf>
    <x:dxf>
      <x:font>
        <x:b/>
        <x:color rgb="FF9B2C2C"/>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1e6f1925e94cce" /><Relationship Type="http://schemas.openxmlformats.org/officeDocument/2006/relationships/theme" Target="/xl/theme/theme1.xml" Id="R714cc89a306c4536" /><Relationship Type="http://schemas.openxmlformats.org/officeDocument/2006/relationships/sharedStrings" Target="/xl/sharedStrings.xml" Id="R000974fe14cb4c04" /><Relationship Type="http://schemas.openxmlformats.org/officeDocument/2006/relationships/worksheet" Target="/xl/worksheets/sheet1.xml" Id="R6433667ccf1644cb" /><Relationship Type="http://schemas.openxmlformats.org/officeDocument/2006/relationships/worksheet" Target="/xl/worksheets/sheet2.xml" Id="Rdfce2bb144874401" /><Relationship Type="http://schemas.openxmlformats.org/officeDocument/2006/relationships/worksheet" Target="/xl/worksheets/sheet3.xml" Id="R8e750df1d6ce4b90" /><Relationship Type="http://schemas.openxmlformats.org/officeDocument/2006/relationships/worksheet" Target="/xl/worksheets/sheet4.xml" Id="R0e8e06f4867c46a7" /><Relationship Type="http://schemas.openxmlformats.org/officeDocument/2006/relationships/worksheet" Target="/xl/worksheets/sheet5.xml" Id="Rb67db5cb7b73423c" /><Relationship Type="http://schemas.openxmlformats.org/officeDocument/2006/relationships/worksheet" Target="/xl/worksheets/sheet6.xml" Id="Rf6c152de553d4173" /><Relationship Type="http://schemas.openxmlformats.org/officeDocument/2006/relationships/worksheet" Target="/xl/worksheets/sheet7.xml" Id="Rbbe7873900a34b37" /><Relationship Type="http://schemas.openxmlformats.org/officeDocument/2006/relationships/worksheet" Target="/xl/worksheets/sheet8.xml" Id="R1f3f1bef2dbe4b1a" /><Relationship Type="http://schemas.openxmlformats.org/officeDocument/2006/relationships/worksheet" Target="/xl/worksheets/sheet9.xml" Id="R9121656b2c7d4c03" /><Relationship Type="http://schemas.openxmlformats.org/officeDocument/2006/relationships/worksheet" Target="/xl/worksheets/sheet10.xml" Id="R194006451ddf4dfc" /><Relationship Type="http://schemas.openxmlformats.org/officeDocument/2006/relationships/worksheet" Target="/xl/worksheets/sheet11.xml" Id="Rf387df0779fd446b" /></Relationships>
</file>

<file path=xl/drawings/_rels/drawing1.xml.rels>&#65279;<?xml version="1.0" encoding="utf-8"?><Relationships xmlns="http://schemas.openxmlformats.org/package/2006/relationships"><Relationship Type="http://schemas.openxmlformats.org/officeDocument/2006/relationships/chart" Target="/xl/drawings/charts/chart1.xml" Id="R98b71a7160a04bd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Legal Findings by Classification</a:t>
            </a:r>
          </a:p>
        </c:rich>
      </c:tx>
    </c:title>
    <c:plotArea>
      <c:barChart>
        <c:barDir val="col"/>
        <c:varyColors val="0"/>
        <c:ser>
          <c:idx val="0"/>
          <c:order val="0"/>
          <c:tx>
            <c:v>Count</c:v>
          </c:tx>
          <c:cat>
            <c:strRef>
              <c:f>'Executive Summary'!$A$18:$A$23</c:f>
              <c:strCache>
                <c:ptCount val="0"/>
              </c:strCache>
            </c:strRef>
          </c:cat>
          <c:val>
            <c:numRef>
              <c:f>'Executive Summary'!$B$18:$B$23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16</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b71a7160a04bde"/>
        </a:graphicData>
      </a:graphic>
    </xdr:graphicFrame>
    <xdr:clientData/>
  </xdr:twoCellAnchor>
</xdr:wsDr>
</file>

<file path=xl/tables/table1.xml><?xml version="1.0" encoding="utf-8"?>
<x:table xmlns:x="http://schemas.openxmlformats.org/spreadsheetml/2006/main" id="1" name="LegalRequirementsTable" displayName="LegalRequirementsTable" ref="A1:I36" headerRowCount="1" totalsRowCount="0" totalsRowShown="0">
  <x:tableColumns count="9">
    <x:tableColumn id="1" name="ID"/>
    <x:tableColumn id="2" name="Classification"/>
    <x:tableColumn id="3" name="Conclusion"/>
    <x:tableColumn id="4" name="Provision / Section"/>
    <x:tableColumn id="5" name="Source IDs"/>
    <x:tableColumn id="6" name="Applicability Conditions"/>
    <x:tableColumn id="7" name="Effective / Timing"/>
    <x:tableColumn id="8" name="Uncertainty"/>
    <x:tableColumn id="9" name="Duckworks Action"/>
  </x:tableColumns>
  <x:tableStyleInfo name="TableStyleMedium2" showFirstColumn="0" showLastColumn="0" showRowStripes="1" showColumnStripes="0"/>
</x:table>
</file>

<file path=xl/tables/table2.xml><?xml version="1.0" encoding="utf-8"?>
<x:table xmlns:x="http://schemas.openxmlformats.org/spreadsheetml/2006/main" id="2" name="OfficialGuidanceTable" displayName="OfficialGuidanceTable" ref="A1:G13" headerRowCount="1" totalsRowCount="0" totalsRowShown="0">
  <x:tableColumns count="7">
    <x:tableColumn id="1" name="ID"/>
    <x:tableColumn id="2" name="Status"/>
    <x:tableColumn id="3" name="Conclusion / Use"/>
    <x:tableColumn id="4" name="Source Basis"/>
    <x:tableColumn id="5" name="Source ID"/>
    <x:tableColumn id="6" name="Duckworks Relevance"/>
    <x:tableColumn id="7" name="Systems"/>
  </x:tableColumns>
  <x:tableStyleInfo name="TableStyleMedium2" showFirstColumn="0" showLastColumn="0" showRowStripes="1" showColumnStripes="0"/>
</x:table>
</file>

<file path=xl/tables/table3.xml><?xml version="1.0" encoding="utf-8"?>
<x:table xmlns:x="http://schemas.openxmlformats.org/spreadsheetml/2006/main" id="3" name="FrameworksTable" displayName="FrameworksTable" ref="A1:G14" headerRowCount="1" totalsRowCount="0" totalsRowShown="0">
  <x:tableColumns count="7">
    <x:tableColumn id="1" name="ID"/>
    <x:tableColumn id="2" name="Type"/>
    <x:tableColumn id="3" name="Framework Finding"/>
    <x:tableColumn id="4" name="Relevant Public Basis"/>
    <x:tableColumn id="5" name="Source ID"/>
    <x:tableColumn id="6" name="Duckworks Use"/>
    <x:tableColumn id="7" name="Systems"/>
  </x:tableColumns>
  <x:tableStyleInfo name="TableStyleMedium2" showFirstColumn="0" showLastColumn="0" showRowStripes="1" showColumnStripes="0"/>
</x:table>
</file>

<file path=xl/tables/table4.xml><?xml version="1.0" encoding="utf-8"?>
<x:table xmlns:x="http://schemas.openxmlformats.org/spreadsheetml/2006/main" id="4" name="SystemApplicabilityTable" displayName="SystemApplicabilityTable" ref="A1:I8" headerRowCount="1" totalsRowCount="0" totalsRowShown="0">
  <x:tableColumns count="9">
    <x:tableColumn id="1" name="AI ID"/>
    <x:tableColumn id="2" name="System"/>
    <x:tableColumn id="3" name="Purpose"/>
    <x:tableColumn id="4" name="Current Governance Gate"/>
    <x:tableColumn id="5" name="AI Act Position"/>
    <x:tableColumn id="6" name="Other Legal Layers"/>
    <x:tableColumn id="7" name="Voluntary Guidance"/>
    <x:tableColumn id="8" name="Required Duckworks Response"/>
    <x:tableColumn id="9" name="Internal Risk"/>
  </x:tableColumns>
  <x:tableStyleInfo name="TableStyleMedium2" showFirstColumn="0" showLastColumn="0" showRowStripes="1" showColumnStripes="0"/>
</x:table>
</file>

<file path=xl/tables/table5.xml><?xml version="1.0" encoding="utf-8"?>
<x:table xmlns:x="http://schemas.openxmlformats.org/spreadsheetml/2006/main" id="5" name="ActionRegisterTable" displayName="ActionRegisterTable" ref="A1:G19" headerRowCount="1" totalsRowCount="0" totalsRowShown="0">
  <x:tableColumns count="7">
    <x:tableColumn id="1" name="ID"/>
    <x:tableColumn id="2" name="Priority"/>
    <x:tableColumn id="3" name="Action"/>
    <x:tableColumn id="4" name="Owner"/>
    <x:tableColumn id="5" name="Why"/>
    <x:tableColumn id="6" name="Trace"/>
    <x:tableColumn id="7" name="Status"/>
  </x:tableColumns>
  <x:tableStyleInfo name="TableStyleMedium2" showFirstColumn="0" showLastColumn="0" showRowStripes="1" showColumnStripes="0"/>
</x:table>
</file>

<file path=xl/tables/table6.xml><?xml version="1.0" encoding="utf-8"?>
<x:table xmlns:x="http://schemas.openxmlformats.org/spreadsheetml/2006/main" id="6" name="TimelineTable" displayName="TimelineTable" ref="A1:D10" headerRowCount="1" totalsRowCount="0" totalsRowShown="0">
  <x:tableColumns count="4">
    <x:tableColumn id="1" name="Date"/>
    <x:tableColumn id="2" name="Regime"/>
    <x:tableColumn id="3" name="Milestone"/>
    <x:tableColumn id="4" name="Duckworks Implication"/>
  </x:tableColumns>
  <x:tableStyleInfo name="TableStyleMedium2" showFirstColumn="0" showLastColumn="0" showRowStripes="1" showColumnStripes="0"/>
</x:table>
</file>

<file path=xl/tables/table7.xml><?xml version="1.0" encoding="utf-8"?>
<x:table xmlns:x="http://schemas.openxmlformats.org/spreadsheetml/2006/main" id="7" name="GovernancePracticesTable" displayName="GovernancePracticesTable" ref="A1:E9" headerRowCount="1" totalsRowCount="0" totalsRowShown="0">
  <x:tableColumns count="5">
    <x:tableColumn id="1" name="ID"/>
    <x:tableColumn id="2" name="Practice"/>
    <x:tableColumn id="3" name="Correct Characterization"/>
    <x:tableColumn id="4" name="Portfolio Treatment"/>
    <x:tableColumn id="5" name="Reason"/>
  </x:tableColumns>
  <x:tableStyleInfo name="TableStyleMedium2" showFirstColumn="0" showLastColumn="0" showRowStripes="1" showColumnStripes="0"/>
</x:table>
</file>

<file path=xl/tables/table8.xml><?xml version="1.0" encoding="utf-8"?>
<x:table xmlns:x="http://schemas.openxmlformats.org/spreadsheetml/2006/main" id="8" name="AssumptionsTable" displayName="AssumptionsTable" ref="A1:G9" headerRowCount="1" totalsRowCount="0" totalsRowShown="0">
  <x:tableColumns count="7">
    <x:tableColumn id="1" name="Assumption ID"/>
    <x:tableColumn id="2" name="Category"/>
    <x:tableColumn id="3" name="Assumption"/>
    <x:tableColumn id="4" name="Status"/>
    <x:tableColumn id="5" name="Materiality"/>
    <x:tableColumn id="6" name="Why It Matters"/>
    <x:tableColumn id="7" name="Validation / Evidence Action"/>
  </x:tableColumns>
  <x:tableStyleInfo name="TableStyleMedium2" showFirstColumn="0" showLastColumn="0" showRowStripes="1" showColumnStripes="0"/>
</x:table>
</file>

<file path=xl/tables/table9.xml><?xml version="1.0" encoding="utf-8"?>
<x:table xmlns:x="http://schemas.openxmlformats.org/spreadsheetml/2006/main" id="9" name="SourcesTable" displayName="SourcesTable" ref="A1:D41" headerRowCount="1" totalsRowCount="0" totalsRowShown="0">
  <x:tableColumns count="4">
    <x:tableColumn id="1" name="Source ID"/>
    <x:tableColumn id="2" name="Source"/>
    <x:tableColumn id="3" name="Source Type"/>
    <x:tableColumn id="4" name="Official / Public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cea1672f8aa4ab6" /></Relationships>
</file>

<file path=xl/worksheets/_rels/sheet2.xml.rels>&#65279;<?xml version="1.0" encoding="utf-8"?><Relationships xmlns="http://schemas.openxmlformats.org/package/2006/relationships"><Relationship Type="http://schemas.openxmlformats.org/officeDocument/2006/relationships/table" Target="/xl/tables/table2.xml" Id="Rc54408ae1eb743f0" /></Relationships>
</file>

<file path=xl/worksheets/_rels/sheet3.xml.rels>&#65279;<?xml version="1.0" encoding="utf-8"?><Relationships xmlns="http://schemas.openxmlformats.org/package/2006/relationships"><Relationship Type="http://schemas.openxmlformats.org/officeDocument/2006/relationships/table" Target="/xl/tables/table3.xml" Id="R6bb41471901749f2" /></Relationships>
</file>

<file path=xl/worksheets/_rels/sheet4.xml.rels>&#65279;<?xml version="1.0" encoding="utf-8"?><Relationships xmlns="http://schemas.openxmlformats.org/package/2006/relationships"><Relationship Type="http://schemas.openxmlformats.org/officeDocument/2006/relationships/table" Target="/xl/tables/table4.xml" Id="R0783f5774f21430e" /></Relationships>
</file>

<file path=xl/worksheets/_rels/sheet5.xml.rels>&#65279;<?xml version="1.0" encoding="utf-8"?><Relationships xmlns="http://schemas.openxmlformats.org/package/2006/relationships"><Relationship Type="http://schemas.openxmlformats.org/officeDocument/2006/relationships/table" Target="/xl/tables/table5.xml" Id="Ref50a904ebc24f44" /></Relationships>
</file>

<file path=xl/worksheets/_rels/sheet6.xml.rels>&#65279;<?xml version="1.0" encoding="utf-8"?><Relationships xmlns="http://schemas.openxmlformats.org/package/2006/relationships"><Relationship Type="http://schemas.openxmlformats.org/officeDocument/2006/relationships/table" Target="/xl/tables/table6.xml" Id="Rf1eeccab41ed4b07" /></Relationships>
</file>

<file path=xl/worksheets/_rels/sheet7.xml.rels>&#65279;<?xml version="1.0" encoding="utf-8"?><Relationships xmlns="http://schemas.openxmlformats.org/package/2006/relationships"><Relationship Type="http://schemas.openxmlformats.org/officeDocument/2006/relationships/table" Target="/xl/tables/table7.xml" Id="R782c92101e2e42af" /></Relationships>
</file>

<file path=xl/worksheets/_rels/sheet8.xml.rels>&#65279;<?xml version="1.0" encoding="utf-8"?><Relationships xmlns="http://schemas.openxmlformats.org/package/2006/relationships"><Relationship Type="http://schemas.openxmlformats.org/officeDocument/2006/relationships/table" Target="/xl/tables/table8.xml" Id="R4af7d9eb29064585" /></Relationships>
</file>

<file path=xl/worksheets/_rels/sheet9.xml.rels>&#65279;<?xml version="1.0" encoding="utf-8"?><Relationships xmlns="http://schemas.openxmlformats.org/package/2006/relationships"><Relationship Type="http://schemas.openxmlformats.org/officeDocument/2006/relationships/table" Target="/xl/tables/table9.xml" Id="R15c13b65a50f4639" /></Relationships>
</file>

<file path=xl/worksheets/_rels/sheet11.xml.rels>&#65279;<?xml version="1.0" encoding="utf-8"?><Relationships xmlns="http://schemas.openxmlformats.org/package/2006/relationships"><Relationship Type="http://schemas.openxmlformats.org/officeDocument/2006/relationships/drawing" Target="/xl/drawings/drawing1.xml" Id="R5c41ecd65ebf424e"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38" hidden="0" customWidth="1"/>
    <x:col min="4" max="4" width="30" hidden="0" customWidth="1"/>
    <x:col min="5" max="5" width="16" hidden="0" customWidth="1"/>
    <x:col min="6" max="6" width="40" hidden="0" customWidth="1"/>
    <x:col min="7" max="7" width="28" hidden="0" customWidth="1"/>
    <x:col min="8" max="8" width="14" hidden="0" customWidth="1"/>
    <x:col min="9" max="9" width="40" hidden="0" customWidth="1"/>
    <x:col min="10" max="10" width="3" hidden="0" customWidth="1"/>
  </x:cols>
  <x:sheetData>
    <x:row r="1" ht="15" hidden="0" customHeight="1">
      <x:c r="A1" s="5" t="str">
        <x:v>ID</x:v>
      </x:c>
      <x:c r="B1" s="5" t="str">
        <x:v>Classification</x:v>
      </x:c>
      <x:c r="C1" s="5" t="str">
        <x:v>Conclusion</x:v>
      </x:c>
      <x:c r="D1" s="5" t="str">
        <x:v>Provision / Section</x:v>
      </x:c>
      <x:c r="E1" s="5" t="str">
        <x:v>Source IDs</x:v>
      </x:c>
      <x:c r="F1" s="5" t="str">
        <x:v>Applicability Conditions</x:v>
      </x:c>
      <x:c r="G1" s="5" t="str">
        <x:v>Effective / Timing</x:v>
      </x:c>
      <x:c r="H1" s="5" t="str">
        <x:v>Uncertainty</x:v>
      </x:c>
      <x:c r="I1" s="5" t="str">
        <x:v>Duckworks Action</x:v>
      </x:c>
      <x:c r="J1"/>
    </x:row>
    <x:row r="2" ht="52.79999923706055" hidden="0" customHeight="1">
      <x:c r="A2" s="12" t="str">
        <x:v>L-01</x:v>
      </x:c>
      <x:c r="B2" s="12" t="str">
        <x:v>Mandatory legal scoping</x:v>
      </x:c>
      <x:c r="C2" s="12" t="str">
        <x:v>EU jurisdiction and market nexus must be validated before a definitive legal conclusion.</x:v>
      </x:c>
      <x:c r="D2" s="12" t="str">
        <x:v>AI Act Art. 2; GDPR Art. 3; national implementation of directives</x:v>
      </x:c>
      <x:c r="E2" s="12" t="str">
        <x:v>S01, S10, S17</x:v>
      </x:c>
      <x:c r="F2" s="12" t="str">
        <x:v>Duckworks is assumed to operate primarily in the EU/EEA and sell into European markets. This supports EU screening but does not establish the exact Member State law.</x:v>
      </x:c>
      <x:c r="G2" s="12" t="str">
        <x:v>Current</x:v>
      </x:c>
      <x:c r="H2" s="12" t="str">
        <x:v>High</x:v>
      </x:c>
      <x:c r="I2" s="12" t="str">
        <x:v>Replace fictional location with an assumed EU Member State for portfolio legal mapping; validate jurisdiction per system.</x:v>
      </x:c>
      <x:c r="J2"/>
    </x:row>
    <x:row r="3" ht="52.79999923706055" hidden="0" customHeight="1">
      <x:c r="A3" s="12" t="str">
        <x:v>L-02</x:v>
      </x:c>
      <x:c r="B3" s="12" t="str">
        <x:v>Mandatory legal requirement</x:v>
      </x:c>
      <x:c r="C3" s="12" t="str">
        <x:v>Duckworks must determine whether each capability is an AI system and determine its legal role in the AI value chain.</x:v>
      </x:c>
      <x:c r="D3" s="12" t="str">
        <x:v>AI Act Arts. 2-3; provider/deployer definitions and scope</x:v>
      </x:c>
      <x:c r="E3" s="12" t="str">
        <x:v>S01, S09</x:v>
      </x:c>
      <x:c r="F3" s="12" t="str">
        <x:v>Applies to each material use case before classification. Duckworks may be provider, deployer, or both depending on development, branding, modification and supply arrangements.</x:v>
      </x:c>
      <x:c r="G3" s="12" t="str">
        <x:v>Current</x:v>
      </x:c>
      <x:c r="H3" s="12" t="str">
        <x:v>High</x:v>
      </x:c>
      <x:c r="I3" s="12" t="str">
        <x:v>Add AI Act role fields to the inventory and require Legal/Compliance confirmation at intake.</x:v>
      </x:c>
      <x:c r="J3"/>
    </x:row>
    <x:row r="4" ht="52.79999923706055" hidden="0" customHeight="1">
      <x:c r="A4" s="12" t="str">
        <x:v>L-03</x:v>
      </x:c>
      <x:c r="B4" s="12" t="str">
        <x:v>Mandatory legal requirement</x:v>
      </x:c>
      <x:c r="C4" s="12" t="str">
        <x:v>AI literacy measures are required for staff and other persons dealing with AI on Duckworks behalf.</x:v>
      </x:c>
      <x:c r="D4" s="12" t="str">
        <x:v>AI Act Art. 4</x:v>
      </x:c>
      <x:c r="E4" s="12" t="str">
        <x:v>S01, S04</x:v>
      </x:c>
      <x:c r="F4" s="12" t="str">
        <x:v>Applies broadly because Duckworks develops, procures and uses AI, including employee use of public GenAI. Measures should reflect role, experience, context and system risk.</x:v>
      </x:c>
      <x:c r="G4" s="12" t="str">
        <x:v>Applicable since 2 Feb 2025; enforcement regime now active</x:v>
      </x:c>
      <x:c r="H4" s="12" t="str">
        <x:v>Medium</x:v>
      </x:c>
      <x:c r="I4" s="12" t="str">
        <x:v>Implement role-based AI literacy; retain training/guidance records. No specific certificate, AI officer or governance board is mandated by Art. 4.</x:v>
      </x:c>
      <x:c r="J4"/>
    </x:row>
    <x:row r="5" ht="52.79999923706055" hidden="0" customHeight="1">
      <x:c r="A5" s="12" t="str">
        <x:v>L-04</x:v>
      </x:c>
      <x:c r="B5" s="12" t="str">
        <x:v>Mandatory legal requirement</x:v>
      </x:c>
      <x:c r="C5" s="12" t="str">
        <x:v>Every use case should be screened against prohibited AI practices.</x:v>
      </x:c>
      <x:c r="D5" s="12" t="str">
        <x:v>AI Act Art. 5</x:v>
      </x:c>
      <x:c r="E5" s="12" t="str">
        <x:v>S01, S08, S03</x:v>
      </x:c>
      <x:c r="F5" s="12" t="str">
        <x:v>No current Duckworks use case is clearly prohibited on the stated facts. Future workplace emotion-recognition or other prohibited functionality would change the conclusion.</x:v>
      </x:c>
      <x:c r="G5" s="12" t="str">
        <x:v>Current; prohibitions 1-8 applicable since 2 Feb 2025; additional 2026 prohibition applies from Dec 2026</x:v>
      </x:c>
      <x:c r="H5" s="12" t="str">
        <x:v>High</x:v>
      </x:c>
      <x:c r="I5" s="12" t="str">
        <x:v>Include prohibited-practice screening as a mandatory intake gate and significant-change trigger.</x:v>
      </x:c>
      <x:c r="J5"/>
    </x:row>
    <x:row r="6" ht="52.79999923706055" hidden="0" customHeight="1">
      <x:c r="A6" s="12" t="str">
        <x:v>L-05</x:v>
      </x:c>
      <x:c r="B6" s="12" t="str">
        <x:v>Mandatory legal requirement</x:v>
      </x:c>
      <x:c r="C6" s="12" t="str">
        <x:v>QuackBot likely requires clear disclosure that the customer is interacting with AI.</x:v>
      </x:c>
      <x:c r="D6" s="12" t="str">
        <x:v>AI Act Art. 50(1)</x:v>
      </x:c>
      <x:c r="E6" s="12" t="str">
        <x:v>S01, S05</x:v>
      </x:c>
      <x:c r="F6" s="12" t="str">
        <x:v>QuackBot is intended to interact directly with natural persons. Provider/deployer role must be confirmed, but explicit disclosure is the most defensible implementation.</x:v>
      </x:c>
      <x:c r="G6" s="12" t="str">
        <x:v>Applicable from 2 Aug 2026</x:v>
      </x:c>
      <x:c r="H6" s="12" t="str">
        <x:v>Medium</x:v>
      </x:c>
      <x:c r="I6" s="12" t="str">
        <x:v>Add persistent, accessible AI-interaction disclosure and test it in release acceptance criteria.</x:v>
      </x:c>
      <x:c r="J6"/>
    </x:row>
    <x:row r="7" ht="66" hidden="0" customHeight="1">
      <x:c r="A7" s="12" t="str">
        <x:v>L-06</x:v>
      </x:c>
      <x:c r="B7" s="12" t="str">
        <x:v>Conditional mandatory requirement</x:v>
      </x:c>
      <x:c r="C7" s="12" t="str">
        <x:v>PondGPT may fall under direct-interaction transparency requirements.</x:v>
      </x:c>
      <x:c r="D7" s="12" t="str">
        <x:v>AI Act Art. 50(1)</x:v>
      </x:c>
      <x:c r="E7" s="12" t="str">
        <x:v>S01, S05</x:v>
      </x:c>
      <x:c r="F7" s="12" t="str">
        <x:v>Relevant when employees interact directly with PondGPT and Duckworks is legally the provider. The exception where interaction with AI is obvious may be relevant but should not be assumed without rationale.</x:v>
      </x:c>
      <x:c r="G7" s="12" t="str">
        <x:v>Applicable from 2 Aug 2026</x:v>
      </x:c>
      <x:c r="H7" s="12" t="str">
        <x:v>Medium</x:v>
      </x:c>
      <x:c r="I7" s="12" t="str">
        <x:v>Document the Art. 50 analysis; use explicit internal disclosure unless Legal determines the obvious-interaction exception is safely relied upon.</x:v>
      </x:c>
    </x:row>
    <x:row r="8" ht="52.79999923706055" hidden="0" customHeight="1">
      <x:c r="A8" s="12" t="str">
        <x:v>L-07</x:v>
      </x:c>
      <x:c r="B8" s="12" t="str">
        <x:v>Conditional mandatory requirement</x:v>
      </x:c>
      <x:c r="C8" s="12" t="str">
        <x:v>Providers of qualifying generative AI systems can have machine-readable marking/detection obligations for synthetic content.</x:v>
      </x:c>
      <x:c r="D8" s="12" t="str">
        <x:v>AI Act Art. 50(2) and associated exceptions</x:v>
      </x:c>
      <x:c r="E8" s="12" t="str">
        <x:v>S01, S05, S06</x:v>
      </x:c>
      <x:c r="F8" s="12" t="str">
        <x:v>Potentially relevant to PondGPT, QuackBot and DuckDesign if Duckworks is the provider and the system generates covered content. Vendor-provider status changes responsibility.</x:v>
      </x:c>
      <x:c r="G8" s="12" t="str">
        <x:v>Applicable from 2 Aug 2026, subject to transition/exception details</x:v>
      </x:c>
      <x:c r="H8" s="12" t="str">
        <x:v>High</x:v>
      </x:c>
      <x:c r="I8" s="12" t="str">
        <x:v>Perform provider-role and output-type analysis; contractually obtain vendor evidence where a third party is provider.</x:v>
      </x:c>
    </x:row>
    <x:row r="9" ht="52.79999923706055" hidden="0" customHeight="1">
      <x:c r="A9" s="12" t="str">
        <x:v>L-08</x:v>
      </x:c>
      <x:c r="B9" s="12" t="str">
        <x:v>Future mandatory high-risk requirement</x:v>
      </x:c>
      <x:c r="C9" s="12" t="str">
        <x:v>DuckTalent is very likely an Annex III high-risk AI system because it analyses, filters, ranks and recommends job applicants.</x:v>
      </x:c>
      <x:c r="D9" s="12" t="str">
        <x:v>AI Act Art. 6(2); Annex III point 4(a)</x:v>
      </x:c>
      <x:c r="E9" s="12" t="str">
        <x:v>S01, S03, S07</x:v>
      </x:c>
      <x:c r="F9" s="12" t="str">
        <x:v>The intended purpose closely matches recruitment and candidate-evaluation use cases in Annex III. This is still a preliminary legal classification for the fictional project.</x:v>
      </x:c>
      <x:c r="G9" s="12" t="str">
        <x:v>High-risk requirements apply from 2 Dec 2027</x:v>
      </x:c>
      <x:c r="H9" s="12" t="str">
        <x:v>Medium</x:v>
      </x:c>
      <x:c r="I9" s="12" t="str">
        <x:v>Label DuckTalent "Preliminary Annex III High-Risk - legal confirmation required" and design to the future high-risk regime now.</x:v>
      </x:c>
    </x:row>
    <x:row r="10" ht="52.79999923706055" hidden="0" customHeight="1">
      <x:c r="A10" s="12" t="str">
        <x:v>L-09</x:v>
      </x:c>
      <x:c r="B10" s="12" t="str">
        <x:v>Future mandatory high-risk requirement</x:v>
      </x:c>
      <x:c r="C10" s="12" t="str">
        <x:v>The Article 6(3) Annex III exception should not presently be relied upon for DuckTalent.</x:v>
      </x:c>
      <x:c r="D10" s="12" t="str">
        <x:v>AI Act Art. 6(3)</x:v>
      </x:c>
      <x:c r="E10" s="12" t="str">
        <x:v>S01, S07</x:v>
      </x:c>
      <x:c r="F10" s="12" t="str">
        <x:v>Ranking and recommendation materially influence employment decisions, making the narrow procedural/preparatory exception difficult to support.</x:v>
      </x:c>
      <x:c r="G10" s="12" t="str">
        <x:v>High-risk regime from 2 Dec 2027</x:v>
      </x:c>
      <x:c r="H10" s="12" t="str">
        <x:v>High</x:v>
      </x:c>
      <x:c r="I10" s="12" t="str">
        <x:v>Document an Art. 6(3) assessment but assume high-risk until Legal confirms otherwise.</x:v>
      </x:c>
    </x:row>
    <x:row r="11" ht="39.599998474121094" hidden="0" customHeight="1">
      <x:c r="A11" s="12" t="str">
        <x:v>L-10</x:v>
      </x:c>
      <x:c r="B11" s="12" t="str">
        <x:v>Legal classification principle</x:v>
      </x:c>
      <x:c r="C11" s="12" t="str">
        <x:v>A human final hiring decision does not by itself remove DuckTalent from Annex III high-risk classification.</x:v>
      </x:c>
      <x:c r="D11" s="12" t="str">
        <x:v>AI Act Art. 6; Annex III point 4(a); Art. 6(3)</x:v>
      </x:c>
      <x:c r="E11" s="12" t="str">
        <x:v>S01, S07</x:v>
      </x:c>
      <x:c r="F11" s="12" t="str">
        <x:v>Human review is a critical safeguard, but classification turns primarily on intended purpose and the statutory exception test.</x:v>
      </x:c>
      <x:c r="G11" s="12" t="str">
        <x:v>High-risk regime from 2 Dec 2027</x:v>
      </x:c>
      <x:c r="H11" s="12" t="str">
        <x:v>Medium</x:v>
      </x:c>
      <x:c r="I11" s="12" t="str">
        <x:v>Keep meaningful human review as a control, not as the sole basis for avoiding high-risk classification.</x:v>
      </x:c>
    </x:row>
    <x:row r="12" ht="79.19999694824219" hidden="0" customHeight="1">
      <x:c r="A12" s="12" t="str">
        <x:v>L-11</x:v>
      </x:c>
      <x:c r="B12" s="12" t="str">
        <x:v>Future mandatory high-risk requirement</x:v>
      </x:c>
      <x:c r="C12" s="12" t="str">
        <x:v>If Duckworks is the provider of DuckTalent, extensive high-risk system requirements will apply.</x:v>
      </x:c>
      <x:c r="D12" s="12" t="str">
        <x:v>AI Act Arts. 8-25, especially 9-17 and 16</x:v>
      </x:c>
      <x:c r="E12" s="12" t="str">
        <x:v>S01</x:v>
      </x:c>
      <x:c r="F12" s="12" t="str">
        <x:v>Provider-side requirements include risk management, data governance, technical documentation, record-keeping, information to deployers, human oversight, accuracy/robustness/cybersecurity, quality management, conformity and corrective actions.</x:v>
      </x:c>
      <x:c r="G12" s="12" t="str">
        <x:v>From 2 Dec 2027 for Annex III route</x:v>
      </x:c>
      <x:c r="H12" s="12" t="str">
        <x:v>High</x:v>
      </x:c>
      <x:c r="I12" s="12" t="str">
        <x:v>Build a provider-readiness workstream only if Duckworks provider status is confirmed; otherwise obtain vendor evidence contractually.</x:v>
      </x:c>
    </x:row>
    <x:row r="13" ht="52.79999923706055" hidden="0" customHeight="1">
      <x:c r="A13" s="12" t="str">
        <x:v>L-12</x:v>
      </x:c>
      <x:c r="B13" s="12" t="str">
        <x:v>Future mandatory high-risk requirement</x:v>
      </x:c>
      <x:c r="C13" s="12" t="str">
        <x:v>If Duckworks deploys DuckTalent, high-risk deployer duties will apply.</x:v>
      </x:c>
      <x:c r="D13" s="12" t="str">
        <x:v>AI Act Art. 26</x:v>
      </x:c>
      <x:c r="E13" s="12" t="str">
        <x:v>S01</x:v>
      </x:c>
      <x:c r="F13" s="12" t="str">
        <x:v>Use per instructions, assign competent/authorised human oversight, monitor operation, manage relevant input data, retain controlled logs and notify workers/representatives where applicable.</x:v>
      </x:c>
      <x:c r="G13" s="12" t="str">
        <x:v>From 2 Dec 2027 for Annex III route</x:v>
      </x:c>
      <x:c r="H13" s="12" t="str">
        <x:v>Medium</x:v>
      </x:c>
      <x:c r="I13" s="12" t="str">
        <x:v>Design the Human Oversight Standard, monitoring, log retention and workplace communication process now.</x:v>
      </x:c>
    </x:row>
    <x:row r="14" ht="66" hidden="0" customHeight="1">
      <x:c r="A14" s="12" t="str">
        <x:v>L-13</x:v>
      </x:c>
      <x:c r="B14" s="12" t="str">
        <x:v>Legal applicability conclusion</x:v>
      </x:c>
      <x:c r="C14" s="12" t="str">
        <x:v>A statutory AI Act fundamental-rights impact assessment is probably not mandatory for DuckTalent solely because it is recruitment AI.</x:v>
      </x:c>
      <x:c r="D14" s="12" t="str">
        <x:v>AI Act Art. 27</x:v>
      </x:c>
      <x:c r="E14" s="12" t="str">
        <x:v>S01</x:v>
      </x:c>
      <x:c r="F14" s="12" t="str">
        <x:v>Art. 27 targets specified deployers, including bodies governed by public law, private entities providing public services, and certain Annex III 5(b)/(c) deployers. Duckworks is a private manufacturer and DuckTalent is Annex III point 4.</x:v>
      </x:c>
      <x:c r="G14" s="12" t="str">
        <x:v>When corresponding high-risk duties apply</x:v>
      </x:c>
      <x:c r="H14" s="12" t="str">
        <x:v>Medium</x:v>
      </x:c>
      <x:c r="I14" s="12" t="str">
        <x:v>Keep the Duckworks AIA as an internal/ISO-aligned impact assessment; do not label it an Art. 27 FRIA unless facts change.</x:v>
      </x:c>
    </x:row>
    <x:row r="15" ht="39.599998474121094" hidden="0" customHeight="1">
      <x:c r="A15" s="12" t="str">
        <x:v>L-14</x:v>
      </x:c>
      <x:c r="B15" s="12" t="str">
        <x:v>Future mandatory high-risk requirement</x:v>
      </x:c>
      <x:c r="C15" s="12" t="str">
        <x:v>Material rebranding, substantial modification or change of intended purpose can shift provider responsibility to Duckworks.</x:v>
      </x:c>
      <x:c r="D15" s="12" t="str">
        <x:v>AI Act Art. 25</x:v>
      </x:c>
      <x:c r="E15" s="12" t="str">
        <x:v>S01</x:v>
      </x:c>
      <x:c r="F15" s="12" t="str">
        <x:v>Especially relevant for vendor AI that Duckworks rebrands, materially modifies or changes into a high-risk intended purpose.</x:v>
      </x:c>
      <x:c r="G15" s="12" t="str">
        <x:v>As applicable to high-risk systems/value-chain roles</x:v>
      </x:c>
      <x:c r="H15" s="12" t="str">
        <x:v>High</x:v>
      </x:c>
      <x:c r="I15" s="12" t="str">
        <x:v>Add provider-role reassessment triggers to change management and vendor governance.</x:v>
      </x:c>
    </x:row>
    <x:row r="16" ht="39.599998474121094" hidden="0" customHeight="1">
      <x:c r="A16" s="12" t="str">
        <x:v>L-15</x:v>
      </x:c>
      <x:c r="B16" s="12" t="str">
        <x:v>Mandatory legal timing</x:v>
      </x:c>
      <x:c r="C16" s="12" t="str">
        <x:v>Annex III and product-route high-risk AI have different application dates after the 2026 amendment.</x:v>
      </x:c>
      <x:c r="D16" s="12" t="str">
        <x:v>AI Act Art. 113 as amended by Regulation (EU) 2026/1744</x:v>
      </x:c>
      <x:c r="E16" s="12" t="str">
        <x:v>S02, S03</x:v>
      </x:c>
      <x:c r="F16" s="12" t="str">
        <x:v>DuckTalent follows the Annex III timeline; product-integrated safety AI may follow the Annex I/product route.</x:v>
      </x:c>
      <x:c r="G16" s="12" t="str">
        <x:v>Annex III: 2 Dec 2027; product route Art. 6(1): 2 Aug 2028</x:v>
      </x:c>
      <x:c r="H16" s="12" t="str">
        <x:v>Low</x:v>
      </x:c>
      <x:c r="I16" s="12" t="str">
        <x:v>Keep the dates explicitly separated in all portfolio documents and dashboards.</x:v>
      </x:c>
    </x:row>
    <x:row r="17" ht="39.599998474121094" hidden="0" customHeight="1">
      <x:c r="A17" s="12" t="str">
        <x:v>L-16</x:v>
      </x:c>
      <x:c r="B17" s="12" t="str">
        <x:v>Mandatory legal requirement</x:v>
      </x:c>
      <x:c r="C17" s="12" t="str">
        <x:v>GDPR applies independently of AI Act risk classification whenever personal data are processed.</x:v>
      </x:c>
      <x:c r="D17" s="12" t="str">
        <x:v>GDPR Arts. 3-6, 9, 13-15, 24-25, 28, 32</x:v>
      </x:c>
      <x:c r="E17" s="12" t="str">
        <x:v>S10</x:v>
      </x:c>
      <x:c r="F17" s="12" t="str">
        <x:v>Strong relevance to DuckTalent; likely relevance to QuackBot and PondGPT; possible relevance elsewhere.</x:v>
      </x:c>
      <x:c r="G17" s="12" t="str">
        <x:v>Current</x:v>
      </x:c>
      <x:c r="H17" s="12" t="str">
        <x:v>Medium</x:v>
      </x:c>
      <x:c r="I17" s="12" t="str">
        <x:v>Add GDPR screening to every AI intake; do not use AI Act classification as a proxy for privacy risk.</x:v>
      </x:c>
    </x:row>
    <x:row r="18" ht="52.79999923706055" hidden="0" customHeight="1">
      <x:c r="A18" s="12" t="str">
        <x:v>L-17</x:v>
      </x:c>
      <x:c r="B18" s="12" t="str">
        <x:v>Mandatory legal requirement</x:v>
      </x:c>
      <x:c r="C18" s="12" t="str">
        <x:v>DuckTalent personal-data processing must satisfy GDPR principles, lawful-basis, transparency, minimisation, accuracy and accountability requirements.</x:v>
      </x:c>
      <x:c r="D18" s="12" t="str">
        <x:v>GDPR Arts. 5-6; Art. 9 where special-category data are involved; Arts. 13-14</x:v>
      </x:c>
      <x:c r="E18" s="12" t="str">
        <x:v>S10</x:v>
      </x:c>
      <x:c r="F18" s="12" t="str">
        <x:v>Applicant CV parsing, qualification extraction and candidate evaluation involve personal data.</x:v>
      </x:c>
      <x:c r="G18" s="12" t="str">
        <x:v>Current</x:v>
      </x:c>
      <x:c r="H18" s="12" t="str">
        <x:v>High</x:v>
      </x:c>
      <x:c r="I18" s="12" t="str">
        <x:v>Define controller/processor roles, purpose, lawful basis, notice, retention, minimisation and data-quality controls before production.</x:v>
      </x:c>
    </x:row>
    <x:row r="19" ht="52.79999923706055" hidden="0" customHeight="1">
      <x:c r="A19" s="12" t="str">
        <x:v>L-18</x:v>
      </x:c>
      <x:c r="B19" s="12" t="str">
        <x:v>Conditional mandatory requirement</x:v>
      </x:c>
      <x:c r="C19" s="12" t="str">
        <x:v>GDPR Article 22 is not automatically triggered merely because DuckTalent ranks candidates, but superficial human review may not avoid it.</x:v>
      </x:c>
      <x:c r="D19" s="12" t="str">
        <x:v>GDPR Art. 22; EDPB automated decision-making guidance</x:v>
      </x:c>
      <x:c r="E19" s="12" t="str">
        <x:v>S10, S11</x:v>
      </x:c>
      <x:c r="F19" s="12" t="str">
        <x:v>Art. 22 concerns solely automated decisions producing legal or similarly significant effects. Duckworks assumes humans make final decisions; meaningful involvement must be evidenced.</x:v>
      </x:c>
      <x:c r="G19" s="12" t="str">
        <x:v>Current</x:v>
      </x:c>
      <x:c r="H19" s="12" t="str">
        <x:v>High</x:v>
      </x:c>
      <x:c r="I19" s="12" t="str">
        <x:v>Test recruiter authority, time, information and override behaviour; prohibit rubber-stamping and monitor automation bias/override rates.</x:v>
      </x:c>
    </x:row>
    <x:row r="20" ht="52.79999923706055" hidden="0" customHeight="1">
      <x:c r="A20" s="12" t="str">
        <x:v>L-19</x:v>
      </x:c>
      <x:c r="B20" s="12" t="str">
        <x:v>Conditional mandatory requirement</x:v>
      </x:c>
      <x:c r="C20" s="12" t="str">
        <x:v>A GDPR DPIA is a strong candidate for DuckTalent and must be formally screened.</x:v>
      </x:c>
      <x:c r="D20" s="12" t="str">
        <x:v>GDPR Art. 35; EDPB DPIA Guidelines</x:v>
      </x:c>
      <x:c r="E20" s="12" t="str">
        <x:v>S10, S12</x:v>
      </x:c>
      <x:c r="F20" s="12" t="str">
        <x:v>Systematic evaluation/profiling in recruitment may create high risk to individuals. A definitive determination also depends on actual processing and national supervisory-authority lists.</x:v>
      </x:c>
      <x:c r="G20" s="12" t="str">
        <x:v>Current</x:v>
      </x:c>
      <x:c r="H20" s="12" t="str">
        <x:v>High</x:v>
      </x:c>
      <x:c r="I20" s="12" t="str">
        <x:v>Complete a formal DPIA screening; if triggered, perform the DPIA separately from the broader Duckworks AIA.</x:v>
      </x:c>
    </x:row>
    <x:row r="21" ht="39.599998474121094" hidden="0" customHeight="1">
      <x:c r="A21" s="12" t="str">
        <x:v>L-20</x:v>
      </x:c>
      <x:c r="B21" s="12" t="str">
        <x:v>Mandatory legal requirement</x:v>
      </x:c>
      <x:c r="C21" s="12" t="str">
        <x:v>Third-party GenAI does not remove Duckworks GDPR accountability.</x:v>
      </x:c>
      <x:c r="D21" s="12" t="str">
        <x:v>GDPR Arts. 24, 25, 28, 32 and Chapter V where transfers apply</x:v>
      </x:c>
      <x:c r="E21" s="12" t="str">
        <x:v>S10, S13</x:v>
      </x:c>
      <x:c r="F21" s="12" t="str">
        <x:v>Relevant when DuckTalent, QuackBot, PondGPT or shadow AI transmits personal data to external providers.</x:v>
      </x:c>
      <x:c r="G21" s="12" t="str">
        <x:v>Current</x:v>
      </x:c>
      <x:c r="H21" s="12" t="str">
        <x:v>High</x:v>
      </x:c>
      <x:c r="I21" s="12" t="str">
        <x:v>Verify processor/controller status, data-use terms, security, subprocessors, retention and international transfers before use.</x:v>
      </x:c>
    </x:row>
    <x:row r="22" ht="39.599998474121094" hidden="0" customHeight="1">
      <x:c r="A22" s="12" t="str">
        <x:v>L-21</x:v>
      </x:c>
      <x:c r="B22" s="12" t="str">
        <x:v>Mandatory through national law</x:v>
      </x:c>
      <x:c r="C22" s="12" t="str">
        <x:v>Recruitment practices must not create unlawful racial or ethnic discrimination.</x:v>
      </x:c>
      <x:c r="D22" s="12" t="str">
        <x:v>Directive 2000/43/EC, especially Arts. 1-3</x:v>
      </x:c>
      <x:c r="E22" s="12" t="str">
        <x:v>S14</x:v>
      </x:c>
      <x:c r="F22" s="12" t="str">
        <x:v>Directly relevant to DuckTalent selection criteria, proxies, ranking and candidate outcomes.</x:v>
      </x:c>
      <x:c r="G22" s="12" t="str">
        <x:v>Current through Member-State implementing law</x:v>
      </x:c>
      <x:c r="H22" s="12" t="str">
        <x:v>High</x:v>
      </x:c>
      <x:c r="I22" s="12" t="str">
        <x:v>Map national law and include disparate-impact/proxy-risk testing in production fairness validation.</x:v>
      </x:c>
    </x:row>
    <x:row r="23" ht="52.79999923706055" hidden="0" customHeight="1">
      <x:c r="A23" s="12" t="str">
        <x:v>L-22</x:v>
      </x:c>
      <x:c r="B23" s="12" t="str">
        <x:v>Mandatory through national law</x:v>
      </x:c>
      <x:c r="C23" s="12" t="str">
        <x:v>Recruitment must not discriminate on religion or belief, disability, age or sexual orientation; reasonable accommodation obligations are relevant.</x:v>
      </x:c>
      <x:c r="D23" s="12" t="str">
        <x:v>Directive 2000/78/EC, especially Arts. 1-5</x:v>
      </x:c>
      <x:c r="E23" s="12" t="str">
        <x:v>S15</x:v>
      </x:c>
      <x:c r="F23" s="12" t="str">
        <x:v>Directly relevant to DuckTalent criteria, accessibility and candidate treatment.</x:v>
      </x:c>
      <x:c r="G23" s="12" t="str">
        <x:v>Current through Member-State implementing law</x:v>
      </x:c>
      <x:c r="H23" s="12" t="str">
        <x:v>High</x:v>
      </x:c>
      <x:c r="I23" s="12" t="str">
        <x:v>Map national law; validate accessibility and reasonable-accommodation handling; test neutral criteria for indirect discrimination.</x:v>
      </x:c>
    </x:row>
    <x:row r="24" ht="26.399999618530273" hidden="0" customHeight="1">
      <x:c r="A24" s="12" t="str">
        <x:v>L-23</x:v>
      </x:c>
      <x:c r="B24" s="12" t="str">
        <x:v>Mandatory through national law</x:v>
      </x:c>
      <x:c r="C24" s="12" t="str">
        <x:v>Direct and indirect sex discrimination in recruitment is prohibited.</x:v>
      </x:c>
      <x:c r="D24" s="12" t="str">
        <x:v>Directive 2006/54/EC, especially Arts. 2 and 14</x:v>
      </x:c>
      <x:c r="E24" s="12" t="str">
        <x:v>S16</x:v>
      </x:c>
      <x:c r="F24" s="12" t="str">
        <x:v>Directly relevant to DuckTalent.</x:v>
      </x:c>
      <x:c r="G24" s="12" t="str">
        <x:v>Current through Member-State implementing law</x:v>
      </x:c>
      <x:c r="H24" s="12" t="str">
        <x:v>High</x:v>
      </x:c>
      <x:c r="I24" s="12" t="str">
        <x:v>Include sex-based direct/indirect discrimination testing and national-law review.</x:v>
      </x:c>
    </x:row>
    <x:row r="25" ht="52.79999923706055" hidden="0" customHeight="1">
      <x:c r="A25" s="12" t="str">
        <x:v>L-24</x:v>
      </x:c>
      <x:c r="B25" s="12" t="str">
        <x:v>Scope-dependent mandatory requirement</x:v>
      </x:c>
      <x:c r="C25" s="12" t="str">
        <x:v>Duckworks is a strong candidate for NIS2 scope if its manufacturing activity maps to Annex II/NACE machinery manufacturing and national law captures it.</x:v>
      </x:c>
      <x:c r="D25" s="12" t="str">
        <x:v>NIS2 Arts. 2-3; Annex II (manufacture of machinery and equipment n.e.c.)</x:v>
      </x:c>
      <x:c r="E25" s="12" t="str">
        <x:v>S17, S18</x:v>
      </x:c>
      <x:c r="F25" s="12" t="str">
        <x:v>Duckworks has about 1,200 staff and manufactures mechanical/robotic arms. Size and sector point toward likely scope, but exact NACE classification and Member-State implementation remain decisive.</x:v>
      </x:c>
      <x:c r="G25" s="12" t="str">
        <x:v>Current through national implementing law</x:v>
      </x:c>
      <x:c r="H25" s="12" t="str">
        <x:v>High</x:v>
      </x:c>
      <x:c r="I25" s="12" t="str">
        <x:v>Change portfolio status from merely "possible" to "likely subject to NACE and national-law confirmation"; obtain country-specific legal mapping.</x:v>
      </x:c>
    </x:row>
    <x:row r="26" ht="52.79999923706055" hidden="0" customHeight="1">
      <x:c r="A26" s="12" t="str">
        <x:v>L-25</x:v>
      </x:c>
      <x:c r="B26" s="12" t="str">
        <x:v>Scope-dependent mandatory requirement</x:v>
      </x:c>
      <x:c r="C26" s="12" t="str">
        <x:v>If NIS2 applies, management accountability, cybersecurity risk-management and incident-reporting duties cover the wider environment supporting AI.</x:v>
      </x:c>
      <x:c r="D26" s="12" t="str">
        <x:v>NIS2 Arts. 20, 21 and 23</x:v>
      </x:c>
      <x:c r="E26" s="12" t="str">
        <x:v>S17, S18</x:v>
      </x:c>
      <x:c r="F26" s="12" t="str">
        <x:v>AI platforms, suppliers, cloud services, APIs and product systems would sit within organizational cybersecurity risk management where they support the in-scope entity.</x:v>
      </x:c>
      <x:c r="G26" s="12" t="str">
        <x:v>Current through national implementing law</x:v>
      </x:c>
      <x:c r="H26" s="12" t="str">
        <x:v>High</x:v>
      </x:c>
      <x:c r="I26" s="12" t="str">
        <x:v>Map existing ISO 27001 controls to NIS2, including supply chain, incident handling, continuity, vulnerability management, access control and management oversight.</x:v>
      </x:c>
    </x:row>
    <x:row r="27" ht="52.79999923706055" hidden="0" customHeight="1">
      <x:c r="A27" s="12" t="str">
        <x:v>L-26</x:v>
      </x:c>
      <x:c r="B27" s="12" t="str">
        <x:v>Current product-safety requirement</x:v>
      </x:c>
      <x:c r="C27" s="12" t="str">
        <x:v>Until transition, machinery placed on the EU market remains governed principally by Machinery Directive 2006/42/EC where in scope.</x:v>
      </x:c>
      <x:c r="D27" s="12" t="str">
        <x:v>Machinery Directive Art. 5 and Annex I</x:v>
      </x:c>
      <x:c r="E27" s="12" t="str">
        <x:v>S21, S23</x:v>
      </x:c>
      <x:c r="F27" s="12" t="str">
        <x:v>Relevant to Duckworks mechanical/robotic arms and to AI-assisted engineering/inspection insofar as those processes influence product conformity and safety evidence.</x:v>
      </x:c>
      <x:c r="G27" s="12" t="str">
        <x:v>Generally until 19 Jan 2027</x:v>
      </x:c>
      <x:c r="H27" s="12" t="str">
        <x:v>High</x:v>
      </x:c>
      <x:c r="I27" s="12" t="str">
        <x:v>Maintain current machinery conformity evidence and trace how AI-assisted design/inspection affects safety decisions.</x:v>
      </x:c>
    </x:row>
    <x:row r="28" ht="39.599998474121094" hidden="0" customHeight="1">
      <x:c r="A28" s="12" t="str">
        <x:v>L-27</x:v>
      </x:c>
      <x:c r="B28" s="12" t="str">
        <x:v>Future product-safety requirement</x:v>
      </x:c>
      <x:c r="C28" s="12" t="str">
        <x:v>Machinery Regulation (EU) 2023/1230 generally becomes the replacement machinery regime from 20 January 2027.</x:v>
      </x:c>
      <x:c r="D28" s="12" t="str">
        <x:v>Machinery Regulation, especially manufacturer obligations and Annex III essential health/safety requirements</x:v>
      </x:c>
      <x:c r="E28" s="12" t="str">
        <x:v>S22, S23</x:v>
      </x:c>
      <x:c r="F28" s="12" t="str">
        <x:v>Likely relevant to Duckworks machinery products.</x:v>
      </x:c>
      <x:c r="G28" s="12" t="str">
        <x:v>Generally from 20 Jan 2027</x:v>
      </x:c>
      <x:c r="H28" s="12" t="str">
        <x:v>Medium</x:v>
      </x:c>
      <x:c r="I28" s="12" t="str">
        <x:v>Create a transition workstream and align AI/product change evidence with the new machinery conformity process.</x:v>
      </x:c>
    </x:row>
    <x:row r="29" ht="66" hidden="0" customHeight="1">
      <x:c r="A29" s="12" t="str">
        <x:v>L-28</x:v>
      </x:c>
      <x:c r="B29" s="12" t="str">
        <x:v>Conditional future high-risk AI requirement</x:v>
      </x:c>
      <x:c r="C29" s="12" t="str">
        <x:v>DuckDesign or WingInspect do not become AI Act high-risk merely because they may affect product safety; the Art. 6(1) product route requires specific conditions.</x:v>
      </x:c>
      <x:c r="D29" s="12" t="str">
        <x:v>AI Act Art. 6(1); Annex I</x:v>
      </x:c>
      <x:c r="E29" s="12" t="str">
        <x:v>S01, S07</x:v>
      </x:c>
      <x:c r="F29" s="12" t="str">
        <x:v>The AI must itself be a covered product or safety component and the product must require third-party conformity assessment under Annex I legislation. Exact architecture and safety function are not yet validated.</x:v>
      </x:c>
      <x:c r="G29" s="12" t="str">
        <x:v>High-risk product-route duties from 2 Aug 2028</x:v>
      </x:c>
      <x:c r="H29" s="12" t="str">
        <x:v>High</x:v>
      </x:c>
      <x:c r="I29" s="12" t="str">
        <x:v>Confirm whether any AI performs a safety function, directly controls movement, or is embedded as a safety component.</x:v>
      </x:c>
    </x:row>
    <x:row r="30" ht="52.79999923706055" hidden="0" customHeight="1">
      <x:c r="A30" s="12" t="str">
        <x:v>L-29</x:v>
      </x:c>
      <x:c r="B30" s="12" t="str">
        <x:v>Scope-dependent mandatory requirement</x:v>
      </x:c>
      <x:c r="C30" s="12" t="str">
        <x:v>The Cyber Resilience Act may apply to connected Duckworks products with digital elements.</x:v>
      </x:c>
      <x:c r="D30" s="12" t="str">
        <x:v>CRA scope and Art. 13 manufacturer obligations</x:v>
      </x:c>
      <x:c r="E30" s="12" t="str">
        <x:v>S19, S20</x:v>
      </x:c>
      <x:c r="F30" s="12" t="str">
        <x:v>Potentially relevant to connected robotic arms, embedded software or commercial digital components. Internal business applications are not automatically CRA products.</x:v>
      </x:c>
      <x:c r="G30" s="12" t="str">
        <x:v>Main obligations from 11 Dec 2027</x:v>
      </x:c>
      <x:c r="H30" s="12" t="str">
        <x:v>High</x:v>
      </x:c>
      <x:c r="I30" s="12" t="str">
        <x:v>Perform product-by-product CRA scoping, including software, connectivity, remote processing and commercial availability.</x:v>
      </x:c>
    </x:row>
    <x:row r="31" ht="39.599998474121094" hidden="0" customHeight="1">
      <x:c r="A31" s="12" t="str">
        <x:v>L-30</x:v>
      </x:c>
      <x:c r="B31" s="12" t="str">
        <x:v>Near-term mandatory requirement</x:v>
      </x:c>
      <x:c r="C31" s="12" t="str">
        <x:v>CRA vulnerability/incident reporting obligations begin before the main CRA regime.</x:v>
      </x:c>
      <x:c r="D31" s="12" t="str">
        <x:v>CRA Art. 14</x:v>
      </x:c>
      <x:c r="E31" s="12" t="str">
        <x:v>S19, S20</x:v>
      </x:c>
      <x:c r="F31" s="12" t="str">
        <x:v>Applies to in-scope products with digital elements, including relevant products made available before full application according to CRA transition rules.</x:v>
      </x:c>
      <x:c r="G31" s="12" t="str">
        <x:v>From 11 Sep 2026</x:v>
      </x:c>
      <x:c r="H31" s="12" t="str">
        <x:v>High</x:v>
      </x:c>
      <x:c r="I31" s="12" t="str">
        <x:v>Complete CRA scope triage immediately; establish reporting ownership, thresholds, contacts and evidence before 11 Sep 2026.</x:v>
      </x:c>
    </x:row>
    <x:row r="32" ht="52.79999923706055" hidden="0" customHeight="1">
      <x:c r="A32" s="12" t="str">
        <x:v>L-31</x:v>
      </x:c>
      <x:c r="B32" s="12" t="str">
        <x:v>Future mandatory requirement</x:v>
      </x:c>
      <x:c r="C32" s="12" t="str">
        <x:v>For in-scope products, the CRA main manufacturer lifecycle cybersecurity obligations apply from 11 December 2027.</x:v>
      </x:c>
      <x:c r="D32" s="12" t="str">
        <x:v>CRA Art. 13 and Annex I; related conformity/technical documentation provisions</x:v>
      </x:c>
      <x:c r="E32" s="12" t="str">
        <x:v>S19, S20</x:v>
      </x:c>
      <x:c r="F32" s="12" t="str">
        <x:v>Product-specific.</x:v>
      </x:c>
      <x:c r="G32" s="12" t="str">
        <x:v>From 11 Dec 2027</x:v>
      </x:c>
      <x:c r="H32" s="12" t="str">
        <x:v>Medium</x:v>
      </x:c>
      <x:c r="I32" s="12" t="str">
        <x:v>Build secure-by-design, vulnerability handling, support-period, technical documentation and conformity evidence into product lifecycle governance.</x:v>
      </x:c>
    </x:row>
    <x:row r="33" ht="39.599998474121094" hidden="0" customHeight="1">
      <x:c r="A33" s="12" t="str">
        <x:v>L-32</x:v>
      </x:c>
      <x:c r="B33" s="12" t="str">
        <x:v>Scope-dependent mandatory requirement</x:v>
      </x:c>
      <x:c r="C33" s="12" t="str">
        <x:v>The General Product Safety Regulation applies where Duckworks offers consumer products within its scope.</x:v>
      </x:c>
      <x:c r="D33" s="12" t="str">
        <x:v>GPSR Arts. 5-6</x:v>
      </x:c>
      <x:c r="E33" s="12" t="str">
        <x:v>S24</x:v>
      </x:c>
      <x:c r="F33" s="12" t="str">
        <x:v>Current facts do not establish whether Duckworks arms are consumer products versus specialist/industrial machinery.</x:v>
      </x:c>
      <x:c r="G33" s="12" t="str">
        <x:v>Applicable since 13 Dec 2024</x:v>
      </x:c>
      <x:c r="H33" s="12" t="str">
        <x:v>High</x:v>
      </x:c>
      <x:c r="I33" s="12" t="str">
        <x:v>Keep GPSR as conditional; determine intended consumer/industrial market for each product line.</x:v>
      </x:c>
    </x:row>
    <x:row r="34" ht="52.79999923706055" hidden="0" customHeight="1">
      <x:c r="A34" s="12" t="str">
        <x:v>L-33</x:v>
      </x:c>
      <x:c r="B34" s="12" t="str">
        <x:v>Future/national liability regime</x:v>
      </x:c>
      <x:c r="C34" s="12" t="str">
        <x:v>The revised Product Liability Directive expressly covers modern software, including AI, and applies to products placed on the market or put into service after 9 December 2026.</x:v>
      </x:c>
      <x:c r="D34" s="12" t="str">
        <x:v>Directive (EU) 2024/2853, scope/application provisions</x:v>
      </x:c>
      <x:c r="E34" s="12" t="str">
        <x:v>S25</x:v>
      </x:c>
      <x:c r="F34" s="12" t="str">
        <x:v>Relevant to defective product outcomes involving software/AI and cybersecurity defects, subject to national transposition and specific claim facts.</x:v>
      </x:c>
      <x:c r="G34" s="12" t="str">
        <x:v>Products after 9 Dec 2026; national transposition required</x:v>
      </x:c>
      <x:c r="H34" s="12" t="str">
        <x:v>Medium</x:v>
      </x:c>
      <x:c r="I34" s="12" t="str">
        <x:v>Strengthen traceability, validation, change history, incident records and supplier evidence for product-integrated AI.</x:v>
      </x:c>
    </x:row>
    <x:row r="35" ht="39.599998474121094" hidden="0" customHeight="1">
      <x:c r="A35" s="12" t="str">
        <x:v>L-34</x:v>
      </x:c>
      <x:c r="B35" s="12" t="str">
        <x:v>Future mandatory high-risk requirement</x:v>
      </x:c>
      <x:c r="C35" s="12" t="str">
        <x:v>High-risk AI used in the workplace creates employee/worker-representative information duties in addition to general deployer obligations.</x:v>
      </x:c>
      <x:c r="D35" s="12" t="str">
        <x:v>AI Act Art. 26</x:v>
      </x:c>
      <x:c r="E35" s="12" t="str">
        <x:v>S01</x:v>
      </x:c>
      <x:c r="F35" s="12" t="str">
        <x:v>Relevant to DuckTalent if high-risk and used by Duckworks as employer.</x:v>
      </x:c>
      <x:c r="G35" s="12" t="str">
        <x:v>From 2 Dec 2027 for Annex III DuckTalent</x:v>
      </x:c>
      <x:c r="H35" s="12" t="str">
        <x:v>Medium</x:v>
      </x:c>
      <x:c r="I35" s="12" t="str">
        <x:v>Include workforce/representative notification and consultation checkpoint in DuckTalent deployment planning, subject to national labour law.</x:v>
      </x:c>
    </x:row>
    <x:row r="36" ht="39.599998474121094" hidden="0" customHeight="1">
      <x:c r="A36" s="12" t="str">
        <x:v>L-35</x:v>
      </x:c>
      <x:c r="B36" s="12" t="str">
        <x:v>Future mandatory high-risk requirement</x:v>
      </x:c>
      <x:c r="C36" s="12" t="str">
        <x:v>High-risk Annex III systems carry registration/database obligations and supporting documentation expectations.</x:v>
      </x:c>
      <x:c r="D36" s="12" t="str">
        <x:v>AI Act Arts. 49 and 71</x:v>
      </x:c>
      <x:c r="E36" s="12" t="str">
        <x:v>S01</x:v>
      </x:c>
      <x:c r="F36" s="12" t="str">
        <x:v>Relevant to DuckTalent if classification is confirmed and depending on Duckworks provider/deployer role.</x:v>
      </x:c>
      <x:c r="G36" s="12" t="str">
        <x:v>From high-risk application date</x:v>
      </x:c>
      <x:c r="H36" s="12" t="str">
        <x:v>Medium</x:v>
      </x:c>
      <x:c r="I36" s="12" t="str">
        <x:v>Include registration evidence and EU database readiness in the future compliance plan.</x:v>
      </x:c>
    </x:row>
  </x:sheetData>
  <x:conditionalFormatting sqref="B2:B200">
    <x:cfRule type="expression" dxfId="0" priority="1">
      <x:formula>ISNUMBER(SEARCH("Mandatory",B2))</x:formula>
    </x:cfRule>
    <x:cfRule type="expression" dxfId="1" priority="2">
      <x:formula>ISNUMBER(SEARCH("Future",B2))</x:formula>
    </x:cfRule>
  </x:conditionalFormatting>
  <x:conditionalFormatting sqref="H2:H200">
    <x:cfRule type="expression" dxfId="2" priority="3">
      <x:formula>H2="High"</x:formula>
    </x:cfRule>
    <x:cfRule type="expression" dxfId="3" priority="4">
      <x:formula>H2="Medium"</x:formula>
    </x:cfRule>
  </x:conditionalFormatting>
  <x:pageMargins left="0.7" right="0.7" top="0.75" bottom="0.75" header="0.3" footer="0.3"/>
  <x:tableParts count="1">
    <x:tablePart xmlns:r="http://schemas.openxmlformats.org/officeDocument/2006/relationships" r:id="R4cea1672f8aa4ab6"/>
  </x:tableParts>
</x:worksheet>
</file>

<file path=xl/worksheets/sheet2.xml><?xml version="1.0" encoding="utf-8"?>
<x:worksheet xmlns:x="http://schemas.openxmlformats.org/spreadsheetml/2006/main">
  <x:sheetFormatPr defaultRowHeight="15"/>
  <x:cols>
    <x:col min="1" max="1" width="10" hidden="0" customWidth="1"/>
    <x:col min="2" max="2" width="24" hidden="0" customWidth="1"/>
    <x:col min="3" max="3" width="40" hidden="0" customWidth="1"/>
    <x:col min="4" max="4" width="32" hidden="0" customWidth="1"/>
    <x:col min="5" max="5" width="12" hidden="0" customWidth="1"/>
    <x:col min="6" max="6" width="40" hidden="0" customWidth="1"/>
    <x:col min="7" max="7" width="30" hidden="0" customWidth="1"/>
  </x:cols>
  <x:sheetData>
    <x:row r="1" ht="15" hidden="0" customHeight="1">
      <x:c r="A1" s="5" t="str">
        <x:v>ID</x:v>
      </x:c>
      <x:c r="B1" s="5" t="str">
        <x:v>Status</x:v>
      </x:c>
      <x:c r="C1" s="5" t="str">
        <x:v>Conclusion / Use</x:v>
      </x:c>
      <x:c r="D1" s="5" t="str">
        <x:v>Source Basis</x:v>
      </x:c>
      <x:c r="E1" s="5" t="str">
        <x:v>Source ID</x:v>
      </x:c>
      <x:c r="F1" s="5" t="str">
        <x:v>Duckworks Relevance</x:v>
      </x:c>
      <x:c r="G1" s="5" t="str">
        <x:v>Systems</x:v>
      </x:c>
    </x:row>
    <x:row r="2" ht="39.599998474121094" hidden="0" customHeight="1">
      <x:c r="A2" s="12" t="str">
        <x:v>G-01</x:v>
      </x:c>
      <x:c r="B2" s="12" t="str">
        <x:v>Official non-binding guidance</x:v>
      </x:c>
      <x:c r="C2" s="12" t="str">
        <x:v>AI system definition guidelines provide Commission interpretation of what qualifies as an AI system.</x:v>
      </x:c>
      <x:c r="D2" s="12" t="str">
        <x:v>Commission AI system definition guidelines</x:v>
      </x:c>
      <x:c r="E2" s="12" t="str">
        <x:v>S09</x:v>
      </x:c>
      <x:c r="F2" s="12" t="str">
        <x:v>Use at intake to prevent over- or under-scoping. The Commission identifies the guidelines as non-binding and evolving.</x:v>
      </x:c>
      <x:c r="G2" s="12" t="str">
        <x:v>All systems</x:v>
      </x:c>
    </x:row>
    <x:row r="3" ht="26.399999618530273" hidden="0" customHeight="1">
      <x:c r="A3" s="12" t="str">
        <x:v>G-02</x:v>
      </x:c>
      <x:c r="B3" s="12" t="str">
        <x:v>Official non-binding guidance</x:v>
      </x:c>
      <x:c r="C3" s="12" t="str">
        <x:v>Prohibited-practices guidelines provide practical examples and legal interpretation for Article 5.</x:v>
      </x:c>
      <x:c r="D3" s="12" t="str">
        <x:v>Commission prohibited AI practices guidelines</x:v>
      </x:c>
      <x:c r="E3" s="12" t="str">
        <x:v>S08</x:v>
      </x:c>
      <x:c r="F3" s="12" t="str">
        <x:v>Use in prohibited-practice screening; authoritative interpretation ultimately belongs to courts.</x:v>
      </x:c>
      <x:c r="G3" s="12" t="str">
        <x:v>All systems</x:v>
      </x:c>
    </x:row>
    <x:row r="4" ht="39.599998474121094" hidden="0" customHeight="1">
      <x:c r="A4" s="12" t="str">
        <x:v>G-03</x:v>
      </x:c>
      <x:c r="B4" s="12" t="str">
        <x:v>Official guidance supporting binding law</x:v>
      </x:c>
      <x:c r="C4" s="12" t="str">
        <x:v>Final Article 50 transparency guidelines are the principal current Commission interpretation of transparency duties.</x:v>
      </x:c>
      <x:c r="D4" s="12" t="str">
        <x:v>Commission Art. 50 guidelines</x:v>
      </x:c>
      <x:c r="E4" s="12" t="str">
        <x:v>S05</x:v>
      </x:c>
      <x:c r="F4" s="12" t="str">
        <x:v>Apply to QuackBot first, then assess PondGPT and other generative systems by role and output type.</x:v>
      </x:c>
      <x:c r="G4" s="12" t="str">
        <x:v>QuackBot; PondGPT; DuckDesign where relevant</x:v>
      </x:c>
    </x:row>
    <x:row r="5" ht="39.599998474121094" hidden="0" customHeight="1">
      <x:c r="A5" s="12" t="str">
        <x:v>G-04</x:v>
      </x:c>
      <x:c r="B5" s="12" t="str">
        <x:v>Draft official guidance</x:v>
      </x:c>
      <x:c r="C5" s="12" t="str">
        <x:v>Commission high-risk classification guidelines remain draft and should be labelled as such.</x:v>
      </x:c>
      <x:c r="D5" s="12" t="str">
        <x:v>Draft high-risk classification guidelines</x:v>
      </x:c>
      <x:c r="E5" s="12" t="str">
        <x:v>S07</x:v>
      </x:c>
      <x:c r="F5" s="12" t="str">
        <x:v>Useful for DuckTalent and the product-safety route, but should not be treated as binding law or final guidance.</x:v>
      </x:c>
      <x:c r="G5" s="12" t="str">
        <x:v>DuckTalent; DuckDesign; WingInspect</x:v>
      </x:c>
    </x:row>
    <x:row r="6" ht="39.599998474121094" hidden="0" customHeight="1">
      <x:c r="A6" s="12" t="str">
        <x:v>G-05</x:v>
      </x:c>
      <x:c r="B6" s="12" t="str">
        <x:v>Official practical guidance</x:v>
      </x:c>
      <x:c r="C6" s="12" t="str">
        <x:v>Commission AI literacy Q&amp;A supports a risk- and role-based literacy programme and confirms no fixed certificate or governance structure is required.</x:v>
      </x:c>
      <x:c r="D6" s="12" t="str">
        <x:v>AI Literacy Q&amp;A</x:v>
      </x:c>
      <x:c r="E6" s="12" t="str">
        <x:v>S04</x:v>
      </x:c>
      <x:c r="F6" s="12" t="str">
        <x:v>Use to design role-based training, guidance and recordkeeping.</x:v>
      </x:c>
      <x:c r="G6" s="12" t="str">
        <x:v>All systems; shadow AI</x:v>
      </x:c>
    </x:row>
    <x:row r="7" ht="52.79999923706055" hidden="0" customHeight="1">
      <x:c r="A7" s="12" t="str">
        <x:v>G-06</x:v>
      </x:c>
      <x:c r="B7" s="12" t="str">
        <x:v>Voluntary compliance tool linked to binding law</x:v>
      </x:c>
      <x:c r="C7" s="12" t="str">
        <x:v>The Transparency Code of Practice is voluntary but can be used by signatories to demonstrate compliance with specified Article 50 marking/labelling duties.</x:v>
      </x:c>
      <x:c r="D7" s="12" t="str">
        <x:v>Transparency Code of Practice</x:v>
      </x:c>
      <x:c r="E7" s="12" t="str">
        <x:v>S06</x:v>
      </x:c>
      <x:c r="F7" s="12" t="str">
        <x:v>Relevant only where covered provider/deployer transparency duties arise; it does not replace the AI Act or final guidelines.</x:v>
      </x:c>
      <x:c r="G7" s="12" t="str">
        <x:v>Generative systems where Article 50(2)/(4)/(5) applies</x:v>
      </x:c>
    </x:row>
    <x:row r="8" ht="39.599998474121094" hidden="0" customHeight="1">
      <x:c r="A8" s="12" t="str">
        <x:v>G-07</x:v>
      </x:c>
      <x:c r="B8" s="12" t="str">
        <x:v>Regulatory guidance</x:v>
      </x:c>
      <x:c r="C8" s="12" t="str">
        <x:v>EDPB automated decision-making guidance remains important for interpreting meaningful human involvement and profiling under GDPR.</x:v>
      </x:c>
      <x:c r="D8" s="12" t="str">
        <x:v>EDPB/WP29 automated decision-making guidance</x:v>
      </x:c>
      <x:c r="E8" s="12" t="str">
        <x:v>S11</x:v>
      </x:c>
      <x:c r="F8" s="12" t="str">
        <x:v>Key for DuckTalent Article 22 analysis and human-review design.</x:v>
      </x:c>
      <x:c r="G8" s="12" t="str">
        <x:v>DuckTalent</x:v>
      </x:c>
    </x:row>
    <x:row r="9" ht="52.79999923706055" hidden="0" customHeight="1">
      <x:c r="A9" s="12" t="str">
        <x:v>G-08</x:v>
      </x:c>
      <x:c r="B9" s="12" t="str">
        <x:v>Regulatory opinion</x:v>
      </x:c>
      <x:c r="C9" s="12" t="str">
        <x:v>EDPB Opinion 28/2024 addresses anonymity, legitimate interest and consequences of unlawful personal-data processing in AI model development/deployment.</x:v>
      </x:c>
      <x:c r="D9" s="12" t="str">
        <x:v>EDPB Opinion 28/2024</x:v>
      </x:c>
      <x:c r="E9" s="12" t="str">
        <x:v>S13</x:v>
      </x:c>
      <x:c r="F9" s="12" t="str">
        <x:v>Useful for third-party model diligence and any Duckworks model-development/deployment involving personal data.</x:v>
      </x:c>
      <x:c r="G9" s="12" t="str">
        <x:v>DuckTalent; PondGPT; QuackBot; shadow AI as applicable</x:v>
      </x:c>
    </x:row>
    <x:row r="10" ht="39.599998474121094" hidden="0" customHeight="1">
      <x:c r="A10" s="12" t="str">
        <x:v>G-09</x:v>
      </x:c>
      <x:c r="B10" s="12" t="str">
        <x:v>Regulatory guidance</x:v>
      </x:c>
      <x:c r="C10" s="12" t="str">
        <x:v>EDPB DPIA guidance supports determining when processing is likely to result in high risk and therefore requires a DPIA.</x:v>
      </x:c>
      <x:c r="D10" s="12" t="str">
        <x:v>EDPB-endorsed DPIA Guidelines WP248 rev.01</x:v>
      </x:c>
      <x:c r="E10" s="12" t="str">
        <x:v>S12</x:v>
      </x:c>
      <x:c r="F10" s="12" t="str">
        <x:v>Use for DuckTalent DPIA screening and other high-impact personal-data AI.</x:v>
      </x:c>
      <x:c r="G10" s="12" t="str">
        <x:v>DuckTalent; other personal-data AI</x:v>
      </x:c>
    </x:row>
    <x:row r="11" ht="39.599998474121094" hidden="0" customHeight="1">
      <x:c r="A11" s="12" t="str">
        <x:v>G-10</x:v>
      </x:c>
      <x:c r="B11" s="12" t="str">
        <x:v>Official non-binding guidance</x:v>
      </x:c>
      <x:c r="C11" s="12" t="str">
        <x:v>The Commission 2026 CRA guidance clarifies scope, substantial modification, support periods, reporting and risk assessment.</x:v>
      </x:c>
      <x:c r="D11" s="12" t="str">
        <x:v>CRA implementation guidance</x:v>
      </x:c>
      <x:c r="E11" s="12" t="str">
        <x:v>S20</x:v>
      </x:c>
      <x:c r="F11" s="12" t="str">
        <x:v>Use for Duckworks product scoping and readiness, while treating the CRA text as the binding source.</x:v>
      </x:c>
      <x:c r="G11" s="12" t="str">
        <x:v>Connected/product-integrated AI and software</x:v>
      </x:c>
    </x:row>
    <x:row r="12" ht="39.599998474121094" hidden="0" customHeight="1">
      <x:c r="A12" s="12" t="str">
        <x:v>G-11</x:v>
      </x:c>
      <x:c r="B12" s="12" t="str">
        <x:v>Official EU cybersecurity guidance</x:v>
      </x:c>
      <x:c r="C12" s="12" t="str">
        <x:v>ENISA Multilayer Framework uses three layers: cybersecurity foundations, AI-specific cybersecurity, and sector-specific cybersecurity for AI.</x:v>
      </x:c>
      <x:c r="D12" s="12" t="str">
        <x:v>ENISA Multilayer Framework</x:v>
      </x:c>
      <x:c r="E12" s="12" t="str">
        <x:v>S36</x:v>
      </x:c>
      <x:c r="F12" s="12" t="str">
        <x:v>Strong basis for AI threat modelling, lifecycle security and control design.</x:v>
      </x:c>
      <x:c r="G12" s="12" t="str">
        <x:v>All systems; especially QuackBot, PondGPT, DuckDesign, WingInspect</x:v>
      </x:c>
    </x:row>
    <x:row r="13" ht="39.599998474121094" hidden="0" customHeight="1">
      <x:c r="A13" s="12" t="str">
        <x:v>G-12</x:v>
      </x:c>
      <x:c r="B13" s="12" t="str">
        <x:v>Official EU cybersecurity/standards guidance</x:v>
      </x:c>
      <x:c r="C13" s="12" t="str">
        <x:v>ENISA Cybersecurity of AI and Standardisation helps relate AI-specific cybersecurity needs to standards and EU policy.</x:v>
      </x:c>
      <x:c r="D13" s="12" t="str">
        <x:v>ENISA Cybersecurity of AI and Standardisation</x:v>
      </x:c>
      <x:c r="E13" s="12" t="str">
        <x:v>S37</x:v>
      </x:c>
      <x:c r="F13" s="12" t="str">
        <x:v>Use as supporting technical rationale, not as a standalone legal obligation.</x:v>
      </x:c>
      <x:c r="G13" s="12" t="str">
        <x:v>Portfolio-wide</x:v>
      </x:c>
    </x:row>
  </x:sheetData>
  <x:conditionalFormatting sqref="B2:B100">
    <x:cfRule type="expression" dxfId="4" priority="1">
      <x:formula>ISNUMBER(SEARCH("Draft",B2))</x:formula>
    </x:cfRule>
    <x:cfRule type="expression" dxfId="5" priority="2">
      <x:formula>ISNUMBER(SEARCH("Official",B2))</x:formula>
    </x:cfRule>
  </x:conditionalFormatting>
  <x:pageMargins left="0.7" right="0.7" top="0.75" bottom="0.75" header="0.3" footer="0.3"/>
  <x:tableParts count="1">
    <x:tablePart xmlns:r="http://schemas.openxmlformats.org/officeDocument/2006/relationships" r:id="Rc54408ae1eb743f0"/>
  </x:tableParts>
</x:worksheet>
</file>

<file path=xl/worksheets/sheet3.xml><?xml version="1.0" encoding="utf-8"?>
<x:worksheet xmlns:x="http://schemas.openxmlformats.org/spreadsheetml/2006/main">
  <x:sheetFormatPr defaultRowHeight="15"/>
  <x:cols>
    <x:col min="1" max="1" width="10" hidden="0" customWidth="1"/>
    <x:col min="2" max="2" width="26" hidden="0" customWidth="1"/>
    <x:col min="3" max="3" width="40" hidden="0" customWidth="1"/>
    <x:col min="4" max="4" width="30" hidden="0" customWidth="1"/>
    <x:col min="5" max="5" width="12" hidden="0" customWidth="1"/>
    <x:col min="6" max="6" width="40" hidden="0" customWidth="1"/>
    <x:col min="7" max="7" width="30" hidden="0" customWidth="1"/>
  </x:cols>
  <x:sheetData>
    <x:row r="1" ht="15" hidden="0" customHeight="1">
      <x:c r="A1" s="5" t="str">
        <x:v>ID</x:v>
      </x:c>
      <x:c r="B1" s="5" t="str">
        <x:v>Type</x:v>
      </x:c>
      <x:c r="C1" s="5" t="str">
        <x:v>Framework Finding</x:v>
      </x:c>
      <x:c r="D1" s="5" t="str">
        <x:v>Relevant Public Basis</x:v>
      </x:c>
      <x:c r="E1" s="5" t="str">
        <x:v>Source ID</x:v>
      </x:c>
      <x:c r="F1" s="5" t="str">
        <x:v>Duckworks Use</x:v>
      </x:c>
      <x:c r="G1" s="5" t="str">
        <x:v>Systems</x:v>
      </x:c>
    </x:row>
    <x:row r="2" ht="39.599998474121094" hidden="0" customHeight="1">
      <x:c r="A2" s="12" t="str">
        <x:v>F-01</x:v>
      </x:c>
      <x:c r="B2" s="12" t="str">
        <x:v>Voluntary framework</x:v>
      </x:c>
      <x:c r="C2" s="12" t="str">
        <x:v>NIST AI RMF 1.0 provides the Govern, Map, Measure and Manage functions for socio-technical AI risk management.</x:v>
      </x:c>
      <x:c r="D2" s="12" t="str">
        <x:v>AI RMF Core</x:v>
      </x:c>
      <x:c r="E2" s="12" t="str">
        <x:v>S26</x:v>
      </x:c>
      <x:c r="F2" s="12" t="str">
        <x:v>Use as the primary cross-system operating structure. NIST states AI RMF 1.0 is voluntary and is being revised.</x:v>
      </x:c>
      <x:c r="G2" s="12" t="str">
        <x:v>All systems</x:v>
      </x:c>
    </x:row>
    <x:row r="3" ht="39.599998474121094" hidden="0" customHeight="1">
      <x:c r="A3" s="12" t="str">
        <x:v>F-02</x:v>
      </x:c>
      <x:c r="B3" s="12" t="str">
        <x:v>Voluntary implementation guidance</x:v>
      </x:c>
      <x:c r="C3" s="12" t="str">
        <x:v>NIST AI RMF Playbook provides suggested actions mapped to AI RMF subcategories.</x:v>
      </x:c>
      <x:c r="D3" s="12" t="str">
        <x:v>Govern / Map / Measure / Manage Playbook</x:v>
      </x:c>
      <x:c r="E3" s="12" t="str">
        <x:v>S27</x:v>
      </x:c>
      <x:c r="F3" s="12" t="str">
        <x:v>Use selectively for controls and evidence; NIST says it is not a checklist or ordered implementation sequence.</x:v>
      </x:c>
      <x:c r="G3" s="12" t="str">
        <x:v>All systems</x:v>
      </x:c>
    </x:row>
    <x:row r="4" ht="39.599998474121094" hidden="0" customHeight="1">
      <x:c r="A4" s="12" t="str">
        <x:v>F-03</x:v>
      </x:c>
      <x:c r="B4" s="12" t="str">
        <x:v>Voluntary GenAI profile</x:v>
      </x:c>
      <x:c r="C4" s="12" t="str">
        <x:v>NIST AI 600-1 identifies GenAI-specific risks and actions as a companion to AI RMF 1.0.</x:v>
      </x:c>
      <x:c r="D4" s="12" t="str">
        <x:v>NIST AI 600-1</x:v>
      </x:c>
      <x:c r="E4" s="12" t="str">
        <x:v>S28</x:v>
      </x:c>
      <x:c r="F4" s="12" t="str">
        <x:v>Strong for hallucination, information integrity, human-AI configuration, misuse, privacy/security and value-chain risks.</x:v>
      </x:c>
      <x:c r="G4" s="12" t="str">
        <x:v>DuckDesign; QuackBot; PondGPT; shadow GenAI</x:v>
      </x:c>
    </x:row>
    <x:row r="5" ht="39.599998474121094" hidden="0" customHeight="1">
      <x:c r="A5" s="12" t="str">
        <x:v>F-04</x:v>
      </x:c>
      <x:c r="B5" s="12" t="str">
        <x:v>Voluntary secure-development guidance</x:v>
      </x:c>
      <x:c r="C5" s="12" t="str">
        <x:v>NIST SP 800-218A augments the SSDF with AI-model-development practices and is useful to model producers, system producers and acquirers.</x:v>
      </x:c>
      <x:c r="D5" s="12" t="str">
        <x:v>SP 800-218A</x:v>
      </x:c>
      <x:c r="E5" s="12" t="str">
        <x:v>S29</x:v>
      </x:c>
      <x:c r="F5" s="12" t="str">
        <x:v>Integrate into AI SDLC and acquisition for internally developed or materially integrated AI.</x:v>
      </x:c>
      <x:c r="G5" s="12" t="str">
        <x:v>DuckDesign; QuackBot; PondGPT; WingInspect; DuckTalent depending build model</x:v>
      </x:c>
    </x:row>
    <x:row r="6" ht="52.79999923706055" hidden="0" customHeight="1">
      <x:c r="A6" s="12" t="str">
        <x:v>F-05</x:v>
      </x:c>
      <x:c r="B6" s="12" t="str">
        <x:v>Voluntary/certifiable management system standard</x:v>
      </x:c>
      <x:c r="C6" s="12" t="str">
        <x:v>ISO/IEC 42001:2023 specifies requirements and guidance for establishing, implementing, maintaining and continually improving an AI management system.</x:v>
      </x:c>
      <x:c r="D6" s="12" t="str">
        <x:v>Public ISO description; full standard requires authorized access</x:v>
      </x:c>
      <x:c r="E6" s="12" t="str">
        <x:v>S30</x:v>
      </x:c>
      <x:c r="F6" s="12" t="str">
        <x:v>Best ISO basis for Duckworks enterprise AI governance operating model, policies, roles, lifecycle governance and continual improvement.</x:v>
      </x:c>
      <x:c r="G6" s="12" t="str">
        <x:v>Portfolio-wide</x:v>
      </x:c>
    </x:row>
    <x:row r="7" ht="39.599998474121094" hidden="0" customHeight="1">
      <x:c r="A7" s="12" t="str">
        <x:v>F-06</x:v>
      </x:c>
      <x:c r="B7" s="12" t="str">
        <x:v>Voluntary guidance standard</x:v>
      </x:c>
      <x:c r="C7" s="12" t="str">
        <x:v>ISO/IEC 23894:2023 provides guidance for AI-specific risk management and integration into organizational activities.</x:v>
      </x:c>
      <x:c r="D7" s="12" t="str">
        <x:v>Public ISO description</x:v>
      </x:c>
      <x:c r="E7" s="12" t="str">
        <x:v>S31</x:v>
      </x:c>
      <x:c r="F7" s="12" t="str">
        <x:v>Supports Duckworks risk identification, analysis, evaluation, treatment and monitoring methodology.</x:v>
      </x:c>
      <x:c r="G7" s="12" t="str">
        <x:v>Portfolio-wide</x:v>
      </x:c>
    </x:row>
    <x:row r="8" ht="39.599998474121094" hidden="0" customHeight="1">
      <x:c r="A8" s="12" t="str">
        <x:v>F-07</x:v>
      </x:c>
      <x:c r="B8" s="12" t="str">
        <x:v>Voluntary guidance standard</x:v>
      </x:c>
      <x:c r="C8" s="12" t="str">
        <x:v>ISO/IEC 42005:2025 provides guidance for AI system impact assessments across the lifecycle, focused on impacts to individuals, groups and society.</x:v>
      </x:c>
      <x:c r="D8" s="12" t="str">
        <x:v>Public ISO description</x:v>
      </x:c>
      <x:c r="E8" s="12" t="str">
        <x:v>S32</x:v>
      </x:c>
      <x:c r="F8" s="12" t="str">
        <x:v>Use for Duckworks AIA methodology, especially DuckTalent. Do not equate it to a statutory AI Act FRIA.</x:v>
      </x:c>
      <x:c r="G8" s="12" t="str">
        <x:v>All material systems; DuckTalent core</x:v>
      </x:c>
    </x:row>
    <x:row r="9" ht="39.599998474121094" hidden="0" customHeight="1">
      <x:c r="A9" s="12" t="str">
        <x:v>F-08</x:v>
      </x:c>
      <x:c r="B9" s="12" t="str">
        <x:v>Voluntary/certifiable management system standard</x:v>
      </x:c>
      <x:c r="C9" s="12" t="str">
        <x:v>ISO/IEC 27001:2022 provides ISMS requirements and can anchor security governance around AI.</x:v>
      </x:c>
      <x:c r="D9" s="12" t="str">
        <x:v>Public ISO description; Amendment 1:2024 noted</x:v>
      </x:c>
      <x:c r="E9" s="12" t="str">
        <x:v>S33</x:v>
      </x:c>
      <x:c r="F9" s="12" t="str">
        <x:v>Reuse ISMS processes for access control, supplier security, incident management, logging, risk treatment and evidence.</x:v>
      </x:c>
      <x:c r="G9" s="12" t="str">
        <x:v>Portfolio-wide</x:v>
      </x:c>
    </x:row>
    <x:row r="10" ht="26.399999618530273" hidden="0" customHeight="1">
      <x:c r="A10" s="12" t="str">
        <x:v>F-09</x:v>
      </x:c>
      <x:c r="B10" s="12" t="str">
        <x:v>Voluntary guidance standard</x:v>
      </x:c>
      <x:c r="C10" s="12" t="str">
        <x:v>ISO/IEC 27005:2022 supports information-security risk assessment and treatment.</x:v>
      </x:c>
      <x:c r="D10" s="12" t="str">
        <x:v>Public ISO description</x:v>
      </x:c>
      <x:c r="E10" s="12" t="str">
        <x:v>S34</x:v>
      </x:c>
      <x:c r="F10" s="12" t="str">
        <x:v>Use for security-specific risk scenarios within the broader AI risk method.</x:v>
      </x:c>
      <x:c r="G10" s="12" t="str">
        <x:v>Portfolio-wide</x:v>
      </x:c>
    </x:row>
    <x:row r="11" ht="26.399999618530273" hidden="0" customHeight="1">
      <x:c r="A11" s="12" t="str">
        <x:v>F-10</x:v>
      </x:c>
      <x:c r="B11" s="12" t="str">
        <x:v>Voluntary guidance standard</x:v>
      </x:c>
      <x:c r="C11" s="12" t="str">
        <x:v>ISO 31000:2018 provides enterprise risk-management principles and guidance.</x:v>
      </x:c>
      <x:c r="D11" s="12" t="str">
        <x:v>Public ISO description</x:v>
      </x:c>
      <x:c r="E11" s="12" t="str">
        <x:v>S35</x:v>
      </x:c>
      <x:c r="F11" s="12" t="str">
        <x:v>Use to align AI risk treatment and escalation with enterprise risk management.</x:v>
      </x:c>
      <x:c r="G11" s="12" t="str">
        <x:v>Portfolio-wide</x:v>
      </x:c>
    </x:row>
    <x:row r="12" ht="52.79999923706055" hidden="0" customHeight="1">
      <x:c r="A12" s="12" t="str">
        <x:v>F-11</x:v>
      </x:c>
      <x:c r="B12" s="12" t="str">
        <x:v>Intergovernmental voluntary principles</x:v>
      </x:c>
      <x:c r="C12" s="12" t="str">
        <x:v>OECD AI Principles provide a high-level responsible-AI principles layer covering human-centred values, transparency, robustness and accountability.</x:v>
      </x:c>
      <x:c r="D12" s="12" t="str">
        <x:v>OECD AI Principles</x:v>
      </x:c>
      <x:c r="E12" s="12" t="str">
        <x:v>S38</x:v>
      </x:c>
      <x:c r="F12" s="12" t="str">
        <x:v>Useful as principles context, not as an auditable substitute for law or control requirements.</x:v>
      </x:c>
      <x:c r="G12" s="12" t="str">
        <x:v>Portfolio-wide</x:v>
      </x:c>
    </x:row>
    <x:row r="13" ht="26.399999618530273" hidden="0" customHeight="1">
      <x:c r="A13" s="12" t="str">
        <x:v>F-12</x:v>
      </x:c>
      <x:c r="B13" s="12" t="str">
        <x:v>Recognized technical reference</x:v>
      </x:c>
      <x:c r="C13" s="12" t="str">
        <x:v>MITRE ATLAS provides adversarial tactics and techniques for AI-enabled systems.</x:v>
      </x:c>
      <x:c r="D13" s="12" t="str">
        <x:v>MITRE ATLAS knowledge base</x:v>
      </x:c>
      <x:c r="E13" s="12" t="str">
        <x:v>S39</x:v>
      </x:c>
      <x:c r="F13" s="12" t="str">
        <x:v>Use for threat modelling, red-team planning and security scenario development.</x:v>
      </x:c>
      <x:c r="G13" s="12" t="str">
        <x:v>AI security relevant systems</x:v>
      </x:c>
    </x:row>
    <x:row r="14" ht="39.599998474121094" hidden="0" customHeight="1">
      <x:c r="A14" s="12" t="str">
        <x:v>F-13</x:v>
      </x:c>
      <x:c r="B14" s="12" t="str">
        <x:v>Community security guidance</x:v>
      </x:c>
      <x:c r="C14" s="12" t="str">
        <x:v>OWASP GenAI Security Project provides practical security guidance for LLM/GenAI applications.</x:v>
      </x:c>
      <x:c r="D14" s="12" t="str">
        <x:v>OWASP GenAI Security Project</x:v>
      </x:c>
      <x:c r="E14" s="12" t="str">
        <x:v>S40</x:v>
      </x:c>
      <x:c r="F14" s="12" t="str">
        <x:v>Use for prompt injection, data leakage, excessive agency, insecure integration and related GenAI controls.</x:v>
      </x:c>
      <x:c r="G14" s="12" t="str">
        <x:v>QuackBot; PondGPT; DuckDesign; shadow GenAI</x:v>
      </x:c>
    </x:row>
  </x:sheetData>
  <x:pageMargins left="0.7" right="0.7" top="0.75" bottom="0.75" header="0.3" footer="0.3"/>
  <x:tableParts count="1">
    <x:tablePart xmlns:r="http://schemas.openxmlformats.org/officeDocument/2006/relationships" r:id="R6bb41471901749f2"/>
  </x:tableParts>
</x:worksheet>
</file>

<file path=xl/worksheets/sheet4.xml><?xml version="1.0" encoding="utf-8"?>
<x:worksheet xmlns:x="http://schemas.openxmlformats.org/spreadsheetml/2006/main">
  <x:sheetFormatPr defaultRowHeight="15"/>
  <x:cols>
    <x:col min="1" max="1" width="10" hidden="0" customWidth="1"/>
    <x:col min="2" max="2" width="22" hidden="0" customWidth="1"/>
    <x:col min="3" max="3" width="25" hidden="0" customWidth="1"/>
    <x:col min="4" max="4" width="24" hidden="0" customWidth="1"/>
    <x:col min="5" max="5" width="40" hidden="0" customWidth="1"/>
    <x:col min="6" max="6" width="40" hidden="0" customWidth="1"/>
    <x:col min="7" max="7" width="38" hidden="0" customWidth="1"/>
    <x:col min="8" max="8" width="40" hidden="0" customWidth="1"/>
    <x:col min="9" max="9" width="14" hidden="0" customWidth="1"/>
  </x:cols>
  <x:sheetData>
    <x:row r="1" ht="15" hidden="0" customHeight="1">
      <x:c r="A1" s="5" t="str">
        <x:v>AI ID</x:v>
      </x:c>
      <x:c r="B1" s="5" t="str">
        <x:v>System</x:v>
      </x:c>
      <x:c r="C1" s="5" t="str">
        <x:v>Purpose</x:v>
      </x:c>
      <x:c r="D1" s="5" t="str">
        <x:v>Current Governance Gate</x:v>
      </x:c>
      <x:c r="E1" s="5" t="str">
        <x:v>AI Act Position</x:v>
      </x:c>
      <x:c r="F1" s="5" t="str">
        <x:v>Other Legal Layers</x:v>
      </x:c>
      <x:c r="G1" s="5" t="str">
        <x:v>Voluntary Guidance</x:v>
      </x:c>
      <x:c r="H1" s="5" t="str">
        <x:v>Required Duckworks Response</x:v>
      </x:c>
      <x:c r="I1" s="5" t="str">
        <x:v>Internal Risk</x:v>
      </x:c>
    </x:row>
    <x:row r="2" ht="39.599998474121094" hidden="0" customHeight="1">
      <x:c r="A2" s="12" t="str">
        <x:v>AI-001</x:v>
      </x:c>
      <x:c r="B2" s="12" t="str">
        <x:v>DuckDesign AI</x:v>
      </x:c>
      <x:c r="C2" s="12" t="str">
        <x:v>Engineering design assistance</x:v>
      </x:c>
      <x:c r="D2" s="12" t="str">
        <x:v>Restricted pilot only</x:v>
      </x:c>
      <x:c r="E2" s="12" t="str">
        <x:v>No clear Annex III classification. Art. 4 applies. Product-route high-risk status is conditional on integration/safety-component facts.</x:v>
      </x:c>
      <x:c r="F2" s="12" t="str">
        <x:v>Machinery/product safety; potential AI Act Art. 6(1); CRA if product-integrated; GDPR if personal data appear; IP/confidentiality.</x:v>
      </x:c>
      <x:c r="G2" s="12" t="str">
        <x:v>NIST AI RMF + GenAI Profile; ISO/IEC 42001, 23894, 27001; ENISA; NIST SP 800-218A.</x:v>
      </x:c>
      <x:c r="H2" s="12" t="str">
        <x:v>Confirm engineer authority; validate product/safety role; retain design-validation evidence; apply IP/data controls; no autonomous production release.</x:v>
      </x:c>
      <x:c r="I2" s="12" t="str">
        <x:v>High</x:v>
      </x:c>
    </x:row>
    <x:row r="3" ht="39.599998474121094" hidden="0" customHeight="1">
      <x:c r="A3" s="12" t="str">
        <x:v>AI-002</x:v>
      </x:c>
      <x:c r="B3" s="12" t="str">
        <x:v>QuackBot</x:v>
      </x:c>
      <x:c r="C3" s="12" t="str">
        <x:v>Customer support</x:v>
      </x:c>
      <x:c r="D3" s="12" t="str">
        <x:v>Production blocked pending gates</x:v>
      </x:c>
      <x:c r="E3" s="12" t="str">
        <x:v>Art. 50(1) transparency is an immediate priority. Art. 4 applies. No clear Annex III route on current facts.</x:v>
      </x:c>
      <x:c r="F3" s="12" t="str">
        <x:v>GDPR where customer personal data are processed; Art. 50(2) provider-side marking may apply; NIS2 organizational security if in scope.</x:v>
      </x:c>
      <x:c r="G3" s="12" t="str">
        <x:v>NIST GenAI Profile; ISO/IEC 42001, 23894, 27001; ENISA; OWASP GenAI.</x:v>
      </x:c>
      <x:c r="H3" s="12" t="str">
        <x:v>Implement persistent AI disclosure; prompt/RAG security testing; safe escalation; content boundaries; privacy controls; monitoring and complaint handling.</x:v>
      </x:c>
      <x:c r="I3" s="12" t="str">
        <x:v>High</x:v>
      </x:c>
    </x:row>
    <x:row r="4" ht="39.599998474121094" hidden="0" customHeight="1">
      <x:c r="A4" s="12" t="str">
        <x:v>AI-003</x:v>
      </x:c>
      <x:c r="B4" s="12" t="str">
        <x:v>FeatherForecast</x:v>
      </x:c>
      <x:c r="C4" s="12" t="str">
        <x:v>Supply-chain forecasting</x:v>
      </x:c>
      <x:c r="D4" s="12" t="str">
        <x:v>Continue with monitoring</x:v>
      </x:c>
      <x:c r="E4" s="12" t="str">
        <x:v>No current fact places it in Annex III or the product high-risk route. Art. 4 applies.</x:v>
      </x:c>
      <x:c r="F4" s="12" t="str">
        <x:v>NIS2 organizational cybersecurity if Duckworks is in scope; GDPR only if personal data are introduced.</x:v>
      </x:c>
      <x:c r="G4" s="12" t="str">
        <x:v>NIST AI RMF; ISO/IEC 42001, 23894, 27001; ISO 31000.</x:v>
      </x:c>
      <x:c r="H4" s="12" t="str">
        <x:v>Maintain manager approval for material commitments; drift/performance monitoring and data-quality controls.</x:v>
      </x:c>
      <x:c r="I4" s="12" t="str">
        <x:v>Moderate</x:v>
      </x:c>
    </x:row>
    <x:row r="5" ht="52.79999923706055" hidden="0" customHeight="1">
      <x:c r="A5" s="12" t="str">
        <x:v>AI-004</x:v>
      </x:c>
      <x:c r="B5" s="12" t="str">
        <x:v>WingInspect Vision</x:v>
      </x:c>
      <x:c r="C5" s="12" t="str">
        <x:v>Manufacturing defect detection</x:v>
      </x:c>
      <x:c r="D5" s="12" t="str">
        <x:v>Restricted pilot only</x:v>
      </x:c>
      <x:c r="E5" s="12" t="str">
        <x:v>Not automatically AI Act high-risk. Product-route classification depends on covered product/safety-component and third-party conformity-assessment facts. Art. 4 applies.</x:v>
      </x:c>
      <x:c r="F5" s="12" t="str">
        <x:v>Machinery/product safety; CRA if product-integrated; AI Act Art. 6(1) conditional.</x:v>
      </x:c>
      <x:c r="G5" s="12" t="str">
        <x:v>NIST AI RMF; ISO/IEC 42001, 23894, 27001; ENISA; NIST SP 800-218A.</x:v>
      </x:c>
      <x:c r="H5" s="12" t="str">
        <x:v>Human inspector remains final authority; false-negative testing; validate safety dependence; trace quality decisions.</x:v>
      </x:c>
      <x:c r="I5" s="12" t="str">
        <x:v>High</x:v>
      </x:c>
    </x:row>
    <x:row r="6" ht="52.79999923706055" hidden="0" customHeight="1">
      <x:c r="A6" s="12" t="str">
        <x:v>AI-005</x:v>
      </x:c>
      <x:c r="B6" s="12" t="str">
        <x:v>DuckTalent AI</x:v>
      </x:c>
      <x:c r="C6" s="12" t="str">
        <x:v>Recruitment screening and ranking</x:v>
      </x:c>
      <x:c r="D6" s="12" t="str">
        <x:v>Do not deploy in current state</x:v>
      </x:c>
      <x:c r="E6" s="12" t="str">
        <x:v>Very likely Annex III point 4(a) high-risk; future Arts. 8-26 duties. Art. 4 applies now. Art. 27 FRIA probably not mandatory on current facts.</x:v>
      </x:c>
      <x:c r="F6" s="12" t="str">
        <x:v>GDPR; DPIA screening/likely DPIA; employment/equality law; future AI Act high-risk duties; worker information.</x:v>
      </x:c>
      <x:c r="G6" s="12" t="str">
        <x:v>NIST AI RMF; ISO/IEC 42001, 23894, 42005, 27001; EDPB guidance.</x:v>
      </x:c>
      <x:c r="H6" s="12" t="str">
        <x:v>Legal classification; DPIA; fairness/bias testing; meaningful human review; transparency/contestability; logs; documentation; future conformity readiness.</x:v>
      </x:c>
      <x:c r="I6" s="12" t="str">
        <x:v>Critical</x:v>
      </x:c>
    </x:row>
    <x:row r="7" ht="52.79999923706055" hidden="0" customHeight="1">
      <x:c r="A7" s="12" t="str">
        <x:v>AI-006</x:v>
      </x:c>
      <x:c r="B7" s="12" t="str">
        <x:v>PondGPT</x:v>
      </x:c>
      <x:c r="C7" s="12" t="str">
        <x:v>Internal employee AI assistant</x:v>
      </x:c>
      <x:c r="D7" s="12" t="str">
        <x:v>Restricted pilot only</x:v>
      </x:c>
      <x:c r="E7" s="12" t="str">
        <x:v>Art. 4 applies. Art. 50(1) may apply depending on provider status and obvious-interaction exception. No clear Annex III route on current facts.</x:v>
      </x:c>
      <x:c r="F7" s="12" t="str">
        <x:v>GDPR; confidentiality/IP; third-party/vendor; NIS2 organizational cybersecurity if in scope.</x:v>
      </x:c>
      <x:c r="G7" s="12" t="str">
        <x:v>NIST GenAI Profile; ISO/IEC 42001, 23894, 27001; ENISA; OWASP GenAI.</x:v>
      </x:c>
      <x:c r="H7" s="12" t="str">
        <x:v>Enterprise authorization boundaries; sensitive-repository exclusions; prompt/RAG security; logging; acceptable-use controls; vendor terms.</x:v>
      </x:c>
      <x:c r="I7" s="12" t="str">
        <x:v>High</x:v>
      </x:c>
    </x:row>
    <x:row r="8" ht="52.79999923706055" hidden="0" customHeight="1">
      <x:c r="A8" s="12" t="str">
        <x:v>AI-007</x:v>
      </x:c>
      <x:c r="B8" s="12" t="str">
        <x:v>Unregistered GenAI Usage</x:v>
      </x:c>
      <x:c r="C8" s="12" t="str">
        <x:v>Shadow/uncontrolled employee AI use</x:v>
      </x:c>
      <x:c r="D8" s="12" t="str">
        <x:v>Immediate containment</x:v>
      </x:c>
      <x:c r="E8" s="12" t="str">
        <x:v>Not one homogeneous AI system; a discovery condition containing multiple unknown use cases. Art. 4 still matters.</x:v>
      </x:c>
      <x:c r="F8" s="12" t="str">
        <x:v>GDPR, confidentiality, IP, security, procurement and contractual duties depend on each discovered use case.</x:v>
      </x:c>
      <x:c r="G8" s="12" t="str">
        <x:v>NIST GenAI Profile; ISO/IEC 42001, 27001; ENISA; OWASP GenAI.</x:v>
      </x:c>
      <x:c r="H8" s="12" t="str">
        <x:v>Discover and decompose uses; prevent restricted-data uploads; approve tools; register material use cases; investigate suspected exposures; train users.</x:v>
      </x:c>
      <x:c r="I8" s="12" t="str">
        <x:v>Critical</x:v>
      </x:c>
    </x:row>
  </x:sheetData>
  <x:conditionalFormatting sqref="I2:I50">
    <x:cfRule type="expression" dxfId="6" priority="1">
      <x:formula>I2="Critical"</x:formula>
    </x:cfRule>
    <x:cfRule type="expression" dxfId="7" priority="2">
      <x:formula>I2="High"</x:formula>
    </x:cfRule>
    <x:cfRule type="expression" dxfId="8" priority="3">
      <x:formula>I2="Moderate"</x:formula>
    </x:cfRule>
  </x:conditionalFormatting>
  <x:pageMargins left="0.7" right="0.7" top="0.75" bottom="0.75" header="0.3" footer="0.3"/>
  <x:tableParts count="1">
    <x:tablePart xmlns:r="http://schemas.openxmlformats.org/officeDocument/2006/relationships" r:id="R0783f5774f21430e"/>
  </x:tableParts>
</x:worksheet>
</file>

<file path=xl/worksheets/sheet5.xml><?xml version="1.0" encoding="utf-8"?>
<x:worksheet xmlns:x="http://schemas.openxmlformats.org/spreadsheetml/2006/main">
  <x:sheetFormatPr defaultRowHeight="15"/>
  <x:cols>
    <x:col min="1" max="1" width="10" hidden="0" customWidth="1"/>
    <x:col min="2" max="2" width="18" hidden="0" customWidth="1"/>
    <x:col min="3" max="3" width="38" hidden="0" customWidth="1"/>
    <x:col min="4" max="4" width="30" hidden="0" customWidth="1"/>
    <x:col min="5" max="5" width="40" hidden="0" customWidth="1"/>
    <x:col min="6" max="6" width="20" hidden="0" customWidth="1"/>
    <x:col min="7" max="7" width="15" hidden="0" customWidth="1"/>
  </x:cols>
  <x:sheetData>
    <x:row r="1" ht="15" hidden="0" customHeight="1">
      <x:c r="A1" s="5" t="str">
        <x:v>ID</x:v>
      </x:c>
      <x:c r="B1" s="5" t="str">
        <x:v>Priority</x:v>
      </x:c>
      <x:c r="C1" s="5" t="str">
        <x:v>Action</x:v>
      </x:c>
      <x:c r="D1" s="5" t="str">
        <x:v>Owner</x:v>
      </x:c>
      <x:c r="E1" s="5" t="str">
        <x:v>Why</x:v>
      </x:c>
      <x:c r="F1" s="5" t="str">
        <x:v>Trace</x:v>
      </x:c>
      <x:c r="G1" s="5" t="str">
        <x:v>Status</x:v>
      </x:c>
    </x:row>
    <x:row r="2" ht="26.399999618530273" hidden="0" customHeight="1">
      <x:c r="A2" s="12" t="str">
        <x:v>P0-01</x:v>
      </x:c>
      <x:c r="B2" s="12" t="str">
        <x:v>Immediate</x:v>
      </x:c>
      <x:c r="C2" s="12" t="str">
        <x:v>Implement QuackBot AI disclosure</x:v>
      </x:c>
      <x:c r="D2" s="12" t="str">
        <x:v>Customer Operations / Legal / AI Governance</x:v>
      </x:c>
      <x:c r="E2" s="12" t="str">
        <x:v>Art. 50 applies now; QuackBot is directly interactive.</x:v>
      </x:c>
      <x:c r="F2" s="12" t="str">
        <x:v>L-05</x:v>
      </x:c>
      <x:c r="G2" s="12" t="str">
        <x:v>Open</x:v>
      </x:c>
    </x:row>
    <x:row r="3" ht="26.399999618530273" hidden="0" customHeight="1">
      <x:c r="A3" s="12" t="str">
        <x:v>P0-02</x:v>
      </x:c>
      <x:c r="B3" s="12" t="str">
        <x:v>Immediate</x:v>
      </x:c>
      <x:c r="C3" s="12" t="str">
        <x:v>Operationalize role-based AI literacy and evidence records</x:v>
      </x:c>
      <x:c r="D3" s="12" t="str">
        <x:v>AI Governance / HR / System Owners</x:v>
      </x:c>
      <x:c r="E3" s="12" t="str">
        <x:v>Art. 4 already applies across Duckworks AI use.</x:v>
      </x:c>
      <x:c r="F3" s="12" t="str">
        <x:v>L-03</x:v>
      </x:c>
      <x:c r="G3" s="12" t="str">
        <x:v>Open</x:v>
      </x:c>
    </x:row>
    <x:row r="4" ht="26.399999618530273" hidden="0" customHeight="1">
      <x:c r="A4" s="12" t="str">
        <x:v>P0-03</x:v>
      </x:c>
      <x:c r="B4" s="12" t="str">
        <x:v>Immediate</x:v>
      </x:c>
      <x:c r="C4" s="12" t="str">
        <x:v>Add prohibited-practice screening to AI intake/change process</x:v>
      </x:c>
      <x:c r="D4" s="12" t="str">
        <x:v>Legal / AI Governance</x:v>
      </x:c>
      <x:c r="E4" s="12" t="str">
        <x:v>Current legal gate; future functionality can change classification.</x:v>
      </x:c>
      <x:c r="F4" s="12" t="str">
        <x:v>L-04</x:v>
      </x:c>
      <x:c r="G4" s="12" t="str">
        <x:v>Open</x:v>
      </x:c>
    </x:row>
    <x:row r="5" ht="26.399999618530273" hidden="0" customHeight="1">
      <x:c r="A5" s="12" t="str">
        <x:v>P0-04</x:v>
      </x:c>
      <x:c r="B5" s="12" t="str">
        <x:v>Immediate</x:v>
      </x:c>
      <x:c r="C5" s="12" t="str">
        <x:v>Contain and decompose shadow GenAI use</x:v>
      </x:c>
      <x:c r="D5" s="12" t="str">
        <x:v>CISO / AI Governance / IT</x:v>
      </x:c>
      <x:c r="E5" s="12" t="str">
        <x:v>Unknown tools may process confidential or personal data without review.</x:v>
      </x:c>
      <x:c r="F5" s="12" t="str">
        <x:v>L-16, L-20</x:v>
      </x:c>
      <x:c r="G5" s="12" t="str">
        <x:v>Open</x:v>
      </x:c>
    </x:row>
    <x:row r="6" ht="26.399999618530273" hidden="0" customHeight="1">
      <x:c r="A6" s="12" t="str">
        <x:v>P0-05</x:v>
      </x:c>
      <x:c r="B6" s="12" t="str">
        <x:v>Immediate</x:v>
      </x:c>
      <x:c r="C6" s="12" t="str">
        <x:v>Keep DuckTalent blocked from unrestricted production</x:v>
      </x:c>
      <x:c r="D6" s="12" t="str">
        <x:v>CPO / Legal / CRCO</x:v>
      </x:c>
      <x:c r="E6" s="12" t="str">
        <x:v>Likely Annex III high-risk and unresolved privacy/fairness/human oversight issues.</x:v>
      </x:c>
      <x:c r="F6" s="12" t="str">
        <x:v>L-08, L-18, L-19</x:v>
      </x:c>
      <x:c r="G6" s="12" t="str">
        <x:v>Open</x:v>
      </x:c>
    </x:row>
    <x:row r="7" ht="26.399999618530273" hidden="0" customHeight="1">
      <x:c r="A7" s="12" t="str">
        <x:v>P0-06</x:v>
      </x:c>
      <x:c r="B7" s="12" t="str">
        <x:v>Immediate</x:v>
      </x:c>
      <x:c r="C7" s="12" t="str">
        <x:v>Perform CRA product scoping and reporting-readiness assessment</x:v>
      </x:c>
      <x:c r="D7" s="12" t="str">
        <x:v>Product Security / Legal / CISO</x:v>
      </x:c>
      <x:c r="E7" s="12" t="str">
        <x:v>Art. 14 reporting starts 11 Sep 2026 for in-scope products.</x:v>
      </x:c>
      <x:c r="F7" s="12" t="str">
        <x:v>L-29, L-30</x:v>
      </x:c>
      <x:c r="G7" s="12" t="str">
        <x:v>Open</x:v>
      </x:c>
    </x:row>
    <x:row r="8" ht="26.399999618530273" hidden="0" customHeight="1">
      <x:c r="A8" s="12" t="str">
        <x:v>P0-07</x:v>
      </x:c>
      <x:c r="B8" s="12" t="str">
        <x:v>Immediate</x:v>
      </x:c>
      <x:c r="C8" s="12" t="str">
        <x:v>Assign AI Act provider/deployer roles per system</x:v>
      </x:c>
      <x:c r="D8" s="12" t="str">
        <x:v>Legal / Procurement / AI Governance</x:v>
      </x:c>
      <x:c r="E8" s="12" t="str">
        <x:v>Obligations materially differ by economic-operator role.</x:v>
      </x:c>
      <x:c r="F8" s="12" t="str">
        <x:v>L-02, L-14</x:v>
      </x:c>
      <x:c r="G8" s="12" t="str">
        <x:v>Open</x:v>
      </x:c>
    </x:row>
    <x:row r="9" ht="26.399999618530273" hidden="0" customHeight="1">
      <x:c r="A9" s="12" t="str">
        <x:v>P1-01</x:v>
      </x:c>
      <x:c r="B9" s="12" t="str">
        <x:v>0-90 days</x:v>
      </x:c>
      <x:c r="C9" s="12" t="str">
        <x:v>Perform formal DuckTalent GDPR DPIA screening / DPIA as required</x:v>
      </x:c>
      <x:c r="D9" s="12" t="str">
        <x:v>DPO / HR / Legal</x:v>
      </x:c>
      <x:c r="E9" s="12" t="str">
        <x:v>Recruitment profiling may be high-risk processing.</x:v>
      </x:c>
      <x:c r="F9" s="12" t="str">
        <x:v>L-19</x:v>
      </x:c>
      <x:c r="G9" s="12" t="str">
        <x:v>Open</x:v>
      </x:c>
    </x:row>
    <x:row r="10" ht="26.399999618530273" hidden="0" customHeight="1">
      <x:c r="A10" s="12" t="str">
        <x:v>P1-02</x:v>
      </x:c>
      <x:c r="B10" s="12" t="str">
        <x:v>0-90 days</x:v>
      </x:c>
      <x:c r="C10" s="12" t="str">
        <x:v>Define and test meaningful human oversight for DuckTalent, DuckDesign and WingInspect</x:v>
      </x:c>
      <x:c r="D10" s="12" t="str">
        <x:v>Business Owners / Risk / Data &amp; AI</x:v>
      </x:c>
      <x:c r="E10" s="12" t="str">
        <x:v>Human authority and automation-bias controls are critical to legal and residual-risk conclusions.</x:v>
      </x:c>
      <x:c r="F10" s="12" t="str">
        <x:v>L-10, L-18, L-28</x:v>
      </x:c>
      <x:c r="G10" s="12" t="str">
        <x:v>Open</x:v>
      </x:c>
    </x:row>
    <x:row r="11" ht="39.599998474121094" hidden="0" customHeight="1">
      <x:c r="A11" s="12" t="str">
        <x:v>P1-03</x:v>
      </x:c>
      <x:c r="B11" s="12" t="str">
        <x:v>0-90 days</x:v>
      </x:c>
      <x:c r="C11" s="12" t="str">
        <x:v>Validate NIS2 NACE scope and Member-State implementing law</x:v>
      </x:c>
      <x:c r="D11" s="12" t="str">
        <x:v>CISO / Legal</x:v>
      </x:c>
      <x:c r="E11" s="12" t="str">
        <x:v>Duckworks appears likely within machinery manufacturing scope but national mapping is required.</x:v>
      </x:c>
      <x:c r="F11" s="12" t="str">
        <x:v>L-24, L-25</x:v>
      </x:c>
      <x:c r="G11" s="12" t="str">
        <x:v>Open</x:v>
      </x:c>
    </x:row>
    <x:row r="12" ht="26.399999618530273" hidden="0" customHeight="1">
      <x:c r="A12" s="12" t="str">
        <x:v>P1-04</x:v>
      </x:c>
      <x:c r="B12" s="12" t="str">
        <x:v>0-90 days</x:v>
      </x:c>
      <x:c r="C12" s="12" t="str">
        <x:v>Validate product architecture and safety role of DuckDesign/WingInspect/product AI</x:v>
      </x:c>
      <x:c r="D12" s="12" t="str">
        <x:v>CTO / Product Safety / Legal</x:v>
      </x:c>
      <x:c r="E12" s="12" t="str">
        <x:v>Determines machinery, AI Act product-route and CRA exposure.</x:v>
      </x:c>
      <x:c r="F12" s="12" t="str">
        <x:v>L-26, L-28, L-29</x:v>
      </x:c>
      <x:c r="G12" s="12" t="str">
        <x:v>Open</x:v>
      </x:c>
    </x:row>
    <x:row r="13" ht="26.399999618530273" hidden="0" customHeight="1">
      <x:c r="A13" s="12" t="str">
        <x:v>P1-05</x:v>
      </x:c>
      <x:c r="B13" s="12" t="str">
        <x:v>0-90 days</x:v>
      </x:c>
      <x:c r="C13" s="12" t="str">
        <x:v>Strengthen third-party AI due diligence and contractual evidence requirements</x:v>
      </x:c>
      <x:c r="D13" s="12" t="str">
        <x:v>Procurement / Security / Privacy / Legal</x:v>
      </x:c>
      <x:c r="E13" s="12" t="str">
        <x:v>Vendor AI does not transfer accountability automatically.</x:v>
      </x:c>
      <x:c r="F13" s="12" t="str">
        <x:v>L-14, L-20</x:v>
      </x:c>
      <x:c r="G13" s="12" t="str">
        <x:v>Open</x:v>
      </x:c>
    </x:row>
    <x:row r="14" ht="26.399999618530273" hidden="0" customHeight="1">
      <x:c r="A14" s="12" t="str">
        <x:v>P1-06</x:v>
      </x:c>
      <x:c r="B14" s="12" t="str">
        <x:v>0-90 days</x:v>
      </x:c>
      <x:c r="C14" s="12" t="str">
        <x:v>Update QuackTrack inventory fields for legal role, legal class, data, vendor and reassessment triggers</x:v>
      </x:c>
      <x:c r="D14" s="12" t="str">
        <x:v>AI Governance Lead</x:v>
      </x:c>
      <x:c r="E14" s="12" t="str">
        <x:v>Supports traceability and avoids conflating enterprise risk with legal classification.</x:v>
      </x:c>
      <x:c r="F14" s="12" t="str">
        <x:v>L-02, L-08</x:v>
      </x:c>
      <x:c r="G14" s="12" t="str">
        <x:v>Open</x:v>
      </x:c>
    </x:row>
    <x:row r="15" ht="26.399999618530273" hidden="0" customHeight="1">
      <x:c r="A15" s="12" t="str">
        <x:v>P1-07</x:v>
      </x:c>
      <x:c r="B15" s="12" t="str">
        <x:v>0-90 days</x:v>
      </x:c>
      <x:c r="C15" s="12" t="str">
        <x:v>Establish a governed AI evidence repository / evidence index</x:v>
      </x:c>
      <x:c r="D15" s="12" t="str">
        <x:v>AI Governance / Control Owners</x:v>
      </x:c>
      <x:c r="E15" s="12" t="str">
        <x:v>Needed to prove operation of legal, risk and internal controls.</x:v>
      </x:c>
      <x:c r="F15" s="12" t="str">
        <x:v>Internal governance conclusion</x:v>
      </x:c>
      <x:c r="G15" s="12" t="str">
        <x:v>Open</x:v>
      </x:c>
    </x:row>
    <x:row r="16" ht="39.599998474121094" hidden="0" customHeight="1">
      <x:c r="A16" s="12" t="str">
        <x:v>P2-01</x:v>
      </x:c>
      <x:c r="B16" s="12" t="str">
        <x:v>2027 readiness</x:v>
      </x:c>
      <x:c r="C16" s="12" t="str">
        <x:v>Build DuckTalent high-risk provider/deployer readiness pack</x:v>
      </x:c>
      <x:c r="D16" s="12" t="str">
        <x:v>HR / Data &amp; AI / Legal / Risk</x:v>
      </x:c>
      <x:c r="E16" s="12" t="str">
        <x:v>Future Arts. 8-26 obligations may require QMS, risk management, data governance, technical documentation, logs, oversight and monitoring.</x:v>
      </x:c>
      <x:c r="F16" s="12" t="str">
        <x:v>L-11, L-12, L-35</x:v>
      </x:c>
      <x:c r="G16" s="12" t="str">
        <x:v>Planned</x:v>
      </x:c>
    </x:row>
    <x:row r="17" ht="26.399999618530273" hidden="0" customHeight="1">
      <x:c r="A17" s="12" t="str">
        <x:v>P2-02</x:v>
      </x:c>
      <x:c r="B17" s="12" t="str">
        <x:v>2027 readiness</x:v>
      </x:c>
      <x:c r="C17" s="12" t="str">
        <x:v>Prepare Machinery Regulation transition evidence</x:v>
      </x:c>
      <x:c r="D17" s="12" t="str">
        <x:v>Product Engineering / Product Safety</x:v>
      </x:c>
      <x:c r="E17" s="12" t="str">
        <x:v>Machinery Regulation generally applies from 20 Jan 2027.</x:v>
      </x:c>
      <x:c r="F17" s="12" t="str">
        <x:v>L-27</x:v>
      </x:c>
      <x:c r="G17" s="12" t="str">
        <x:v>Planned</x:v>
      </x:c>
    </x:row>
    <x:row r="18" ht="26.399999618530273" hidden="0" customHeight="1">
      <x:c r="A18" s="12" t="str">
        <x:v>P2-03</x:v>
      </x:c>
      <x:c r="B18" s="12" t="str">
        <x:v>2027 readiness</x:v>
      </x:c>
      <x:c r="C18" s="12" t="str">
        <x:v>Prepare full CRA lifecycle compliance for in-scope products</x:v>
      </x:c>
      <x:c r="D18" s="12" t="str">
        <x:v>Product Security / Engineering</x:v>
      </x:c>
      <x:c r="E18" s="12" t="str">
        <x:v>Main CRA obligations apply 11 Dec 2027.</x:v>
      </x:c>
      <x:c r="F18" s="12" t="str">
        <x:v>L-31</x:v>
      </x:c>
      <x:c r="G18" s="12" t="str">
        <x:v>Planned</x:v>
      </x:c>
    </x:row>
    <x:row r="19" ht="26.399999618530273" hidden="0" customHeight="1">
      <x:c r="A19" s="12" t="str">
        <x:v>P2-04</x:v>
      </x:c>
      <x:c r="B19" s="12" t="str">
        <x:v>2027-2028 readiness</x:v>
      </x:c>
      <x:c r="C19" s="12" t="str">
        <x:v>Assess Art. 6(1) product-route high-risk AI and conformity integration</x:v>
      </x:c>
      <x:c r="D19" s="12" t="str">
        <x:v>Legal / Product Safety / AI Governance</x:v>
      </x:c>
      <x:c r="E19" s="12" t="str">
        <x:v>Product-integrated high-risk AI duties apply from 2 Aug 2028 if statutory criteria are met.</x:v>
      </x:c>
      <x:c r="F19" s="12" t="str">
        <x:v>L-28, L-15</x:v>
      </x:c>
      <x:c r="G19" s="12" t="str">
        <x:v>Planned</x:v>
      </x:c>
    </x:row>
  </x:sheetData>
  <x:conditionalFormatting sqref="B2:B100">
    <x:cfRule type="expression" dxfId="9" priority="1">
      <x:formula>B2="Immediate"</x:formula>
    </x:cfRule>
    <x:cfRule type="expression" dxfId="10" priority="2">
      <x:formula>B2="0-90 days"</x:formula>
    </x:cfRule>
  </x:conditionalFormatting>
  <x:conditionalFormatting sqref="G2:G100">
    <x:cfRule type="expression" dxfId="11" priority="3">
      <x:formula>G2="Closed"</x:formula>
    </x:cfRule>
  </x:conditionalFormatting>
  <x:dataValidations count="1">
    <x:dataValidation type="list" sqref="G2:G100">
      <x:formula1>"Open,In Progress,Blocked,Planned,Closed"</x:formula1>
    </x:dataValidation>
  </x:dataValidations>
  <x:pageMargins left="0.7" right="0.7" top="0.75" bottom="0.75" header="0.3" footer="0.3"/>
  <x:tableParts count="1">
    <x:tablePart xmlns:r="http://schemas.openxmlformats.org/officeDocument/2006/relationships" r:id="Ref50a904ebc24f44"/>
  </x:tableParts>
</x:worksheet>
</file>

<file path=xl/worksheets/sheet6.xml><?xml version="1.0" encoding="utf-8"?>
<x:worksheet xmlns:x="http://schemas.openxmlformats.org/spreadsheetml/2006/main">
  <x:sheetFormatPr defaultRowHeight="15"/>
  <x:cols>
    <x:col min="1" max="1" width="16" hidden="0" customWidth="1"/>
    <x:col min="2" max="2" width="22" hidden="0" customWidth="1"/>
    <x:col min="3" max="3" width="40" hidden="0" customWidth="1"/>
    <x:col min="4" max="4" width="40" hidden="0" customWidth="1"/>
  </x:cols>
  <x:sheetData>
    <x:row r="1" ht="15" hidden="0" customHeight="1">
      <x:c r="A1" s="5" t="str">
        <x:v>Date</x:v>
      </x:c>
      <x:c r="B1" s="5" t="str">
        <x:v>Regime</x:v>
      </x:c>
      <x:c r="C1" s="5" t="str">
        <x:v>Milestone</x:v>
      </x:c>
      <x:c r="D1" s="5" t="str">
        <x:v>Duckworks Implication</x:v>
      </x:c>
    </x:row>
    <x:row r="2" ht="26.399999618530273" hidden="0" customHeight="1">
      <x:c r="A2" s="12" t="str">
        <x:v>2025-02-02</x:v>
      </x:c>
      <x:c r="B2" s="12" t="str">
        <x:v>AI Act</x:v>
      </x:c>
      <x:c r="C2" s="12" t="str">
        <x:v>AI literacy (Art. 4) and first set of prohibited practices become applicable</x:v>
      </x:c>
      <x:c r="D2" s="12" t="str">
        <x:v>Current Duckworks obligations / screening</x:v>
      </x:c>
    </x:row>
    <x:row r="3" ht="26.399999618530273" hidden="0" customHeight="1">
      <x:c r="A3" s="12" t="str">
        <x:v>2026-08-02</x:v>
      </x:c>
      <x:c r="B3" s="12" t="str">
        <x:v>AI Act</x:v>
      </x:c>
      <x:c r="C3" s="12" t="str">
        <x:v>General application milestone; Article 50 transparency obligations apply</x:v>
      </x:c>
      <x:c r="D3" s="12" t="str">
        <x:v>QuackBot disclosure and other transparency analysis now operational</x:v>
      </x:c>
    </x:row>
    <x:row r="4" ht="39.599998474121094" hidden="0" customHeight="1">
      <x:c r="A4" s="12" t="str">
        <x:v>2026-09-11</x:v>
      </x:c>
      <x:c r="B4" s="12" t="str">
        <x:v>CRA</x:v>
      </x:c>
      <x:c r="C4" s="12" t="str">
        <x:v>Article 14 reporting obligations apply</x:v>
      </x:c>
      <x:c r="D4" s="12" t="str">
        <x:v>Immediate product scoping/reporting readiness if Duckworks has in-scope products with digital elements</x:v>
      </x:c>
    </x:row>
    <x:row r="5" ht="26.399999618530273" hidden="0" customHeight="1">
      <x:c r="A5" s="12" t="str">
        <x:v>2026-12-02</x:v>
      </x:c>
      <x:c r="B5" s="12" t="str">
        <x:v>AI Act</x:v>
      </x:c>
      <x:c r="C5" s="12" t="str">
        <x:v>Additional prohibition introduced by 2026 amendment applies</x:v>
      </x:c>
      <x:c r="D5" s="12" t="str">
        <x:v>Maintain prohibited-practice screening for new functionality</x:v>
      </x:c>
    </x:row>
    <x:row r="6" ht="39.599998474121094" hidden="0" customHeight="1">
      <x:c r="A6" s="12" t="str">
        <x:v>2026-12-09</x:v>
      </x:c>
      <x:c r="B6" s="12" t="str">
        <x:v>Product Liability Directive</x:v>
      </x:c>
      <x:c r="C6" s="12" t="str">
        <x:v>Revised regime applies to products placed on market or put into service after this date, subject to national transposition</x:v>
      </x:c>
      <x:c r="D6" s="12" t="str">
        <x:v>Increase product/software/AI traceability and evidence</x:v>
      </x:c>
    </x:row>
    <x:row r="7" ht="26.399999618530273" hidden="0" customHeight="1">
      <x:c r="A7" s="12" t="str">
        <x:v>2027-01-20</x:v>
      </x:c>
      <x:c r="B7" s="12" t="str">
        <x:v>Machinery Regulation</x:v>
      </x:c>
      <x:c r="C7" s="12" t="str">
        <x:v>Regulation (EU) 2023/1230 generally applies</x:v>
      </x:c>
      <x:c r="D7" s="12" t="str">
        <x:v>Transition Duckworks machinery conformity processes</x:v>
      </x:c>
    </x:row>
    <x:row r="8" ht="15" hidden="0" customHeight="1">
      <x:c r="A8" s="12" t="str">
        <x:v>2027-12-02</x:v>
      </x:c>
      <x:c r="B8" s="12" t="str">
        <x:v>AI Act</x:v>
      </x:c>
      <x:c r="C8" s="12" t="str">
        <x:v>High-risk rules for Annex III systems apply</x:v>
      </x:c>
      <x:c r="D8" s="12" t="str">
        <x:v>DuckTalent target compliance date</x:v>
      </x:c>
    </x:row>
    <x:row r="9" ht="26.399999618530273" hidden="0" customHeight="1">
      <x:c r="A9" s="12" t="str">
        <x:v>2027-12-11</x:v>
      </x:c>
      <x:c r="B9" s="12" t="str">
        <x:v>CRA</x:v>
      </x:c>
      <x:c r="C9" s="12" t="str">
        <x:v>Main CRA obligations apply</x:v>
      </x:c>
      <x:c r="D9" s="12" t="str">
        <x:v>In-scope connected products must meet lifecycle cybersecurity and conformity requirements</x:v>
      </x:c>
    </x:row>
    <x:row r="10" ht="26.399999618530273" hidden="0" customHeight="1">
      <x:c r="A10" s="12" t="str">
        <x:v>2028-08-02</x:v>
      </x:c>
      <x:c r="B10" s="12" t="str">
        <x:v>AI Act</x:v>
      </x:c>
      <x:c r="C10" s="12" t="str">
        <x:v>High-risk rules for Article 6(1) product-route systems apply</x:v>
      </x:c>
      <x:c r="D10" s="12" t="str">
        <x:v>Potential product-integrated safety AI target date</x:v>
      </x:c>
    </x:row>
  </x:sheetData>
  <x:pageMargins left="0.7" right="0.7" top="0.75" bottom="0.75" header="0.3" footer="0.3"/>
  <x:tableParts count="1">
    <x:tablePart xmlns:r="http://schemas.openxmlformats.org/officeDocument/2006/relationships" r:id="Rf1eeccab41ed4b07"/>
  </x:tableParts>
</x:worksheet>
</file>

<file path=xl/worksheets/sheet7.xml><?xml version="1.0" encoding="utf-8"?>
<x:worksheet xmlns:x="http://schemas.openxmlformats.org/spreadsheetml/2006/main">
  <x:sheetFormatPr defaultRowHeight="15"/>
  <x:cols>
    <x:col min="1" max="1" width="10" hidden="0" customWidth="1"/>
    <x:col min="2" max="2" width="28" hidden="0" customWidth="1"/>
    <x:col min="3" max="3" width="40" hidden="0" customWidth="1"/>
    <x:col min="4" max="4" width="40" hidden="0" customWidth="1"/>
    <x:col min="5" max="5" width="38" hidden="0" customWidth="1"/>
  </x:cols>
  <x:sheetData>
    <x:row r="1" ht="15" hidden="0" customHeight="1">
      <x:c r="A1" s="5" t="str">
        <x:v>ID</x:v>
      </x:c>
      <x:c r="B1" s="5" t="str">
        <x:v>Practice</x:v>
      </x:c>
      <x:c r="C1" s="5" t="str">
        <x:v>Correct Characterization</x:v>
      </x:c>
      <x:c r="D1" s="5" t="str">
        <x:v>Portfolio Treatment</x:v>
      </x:c>
      <x:c r="E1" s="5" t="str">
        <x:v>Reason</x:v>
      </x:c>
    </x:row>
    <x:row r="2" ht="52.79999923706055" hidden="0" customHeight="1">
      <x:c r="A2" s="12" t="str">
        <x:v>IP-01</x:v>
      </x:c>
      <x:c r="B2" s="12" t="str">
        <x:v>Central AI inventory</x:v>
      </x:c>
      <x:c r="C2" s="12" t="str">
        <x:v>Recommended organizational practice; specific legal documentation/registration duties exist for defined categories, but there is no single blanket AI Act duty to inventory every low-risk internal AI system.</x:v>
      </x:c>
      <x:c r="D2" s="12" t="str">
        <x:v>Retain as core Duckworks control.</x:v>
      </x:c>
      <x:c r="E2" s="12" t="str">
        <x:v>NIST/ISO aligned; supports legal scoping and evidence.</x:v>
      </x:c>
    </x:row>
    <x:row r="3" ht="39.599998474121094" hidden="0" customHeight="1">
      <x:c r="A3" s="12" t="str">
        <x:v>IP-02</x:v>
      </x:c>
      <x:c r="B3" s="12" t="str">
        <x:v>AI Governance Committee</x:v>
      </x:c>
      <x:c r="C3" s="12" t="str">
        <x:v>Recommended organizational practice; Article 4 does not mandate a specific AI officer or governance board.</x:v>
      </x:c>
      <x:c r="D3" s="12" t="str">
        <x:v>Retain because Duckworks needs cross-functional decision rights.</x:v>
      </x:c>
      <x:c r="E3" s="12" t="str">
        <x:v>Commission AI literacy Q&amp;A confirms no specific governance structure is mandated for Art. 4.</x:v>
      </x:c>
    </x:row>
    <x:row r="4" ht="26.399999618530273" hidden="0" customHeight="1">
      <x:c r="A4" s="12" t="str">
        <x:v>IP-03</x:v>
      </x:c>
      <x:c r="B4" s="12" t="str">
        <x:v>AI impact assessment for all seven entries</x:v>
      </x:c>
      <x:c r="C4" s="12" t="str">
        <x:v>Internal governance practice informed by ISO/IEC 42005; not automatically an EU AI Act FRIA.</x:v>
      </x:c>
      <x:c r="D4" s="12" t="str">
        <x:v>Keep "Duckworks AIA" terminology and separately identify statutory DPIA/FRIA where triggered.</x:v>
      </x:c>
      <x:c r="E4" s="12" t="str">
        <x:v>Avoid false legal equivalence.</x:v>
      </x:c>
    </x:row>
    <x:row r="5" ht="26.399999618530273" hidden="0" customHeight="1">
      <x:c r="A5" s="12" t="str">
        <x:v>IP-04</x:v>
      </x:c>
      <x:c r="B5" s="12" t="str">
        <x:v>Low/Moderate/High/Critical internal risk ratings</x:v>
      </x:c>
      <x:c r="C5" s="12" t="str">
        <x:v>Duckworks enterprise methodology, not EU AI Act legal classification.</x:v>
      </x:c>
      <x:c r="D5" s="12" t="str">
        <x:v>Keep terminology strictly separated in all artifacts.</x:v>
      </x:c>
      <x:c r="E5" s="12" t="str">
        <x:v>Already a strong project design choice.</x:v>
      </x:c>
    </x:row>
    <x:row r="6" ht="39.599998474121094" hidden="0" customHeight="1">
      <x:c r="A6" s="12" t="str">
        <x:v>IP-05</x:v>
      </x:c>
      <x:c r="B6" s="12" t="str">
        <x:v>Human review</x:v>
      </x:c>
      <x:c r="C6" s="12" t="str">
        <x:v>Can be a legal requirement for high-risk systems and a recommended control elsewhere.</x:v>
      </x:c>
      <x:c r="D6" s="12" t="str">
        <x:v>Specify competence, authority, information, override, escalation and evidence - not merely "human in the loop".</x:v>
      </x:c>
      <x:c r="E6" s="12" t="str">
        <x:v>Critical for DuckTalent, DuckDesign and WingInspect.</x:v>
      </x:c>
    </x:row>
    <x:row r="7" ht="39.599998474121094" hidden="0" customHeight="1">
      <x:c r="A7" s="12" t="str">
        <x:v>IP-06</x:v>
      </x:c>
      <x:c r="B7" s="12" t="str">
        <x:v>AI vendor due diligence</x:v>
      </x:c>
      <x:c r="C7" s="12" t="str">
        <x:v>Recommended broadly and mandatory in particular legal contexts such as GDPR processors, NIS2 supply-chain risk and product/cyber rules.</x:v>
      </x:c>
      <x:c r="D7" s="12" t="str">
        <x:v>Integrate security, privacy, data-use, IP, change, incident, resilience and exit clauses.</x:v>
      </x:c>
      <x:c r="E7" s="12" t="str">
        <x:v>Do not treat contract transfer as transfer of accountability.</x:v>
      </x:c>
    </x:row>
    <x:row r="8" ht="52.79999923706055" hidden="0" customHeight="1">
      <x:c r="A8" s="12" t="str">
        <x:v>IP-07</x:v>
      </x:c>
      <x:c r="B8" s="12" t="str">
        <x:v>AI evidence repository</x:v>
      </x:c>
      <x:c r="C8" s="12" t="str">
        <x:v>Recommended enterprise-wide; specific legal contexts create documentation/logging/accountability duties, but no universal statute requires one repository.</x:v>
      </x:c>
      <x:c r="D8" s="12" t="str">
        <x:v>Retain as assurance-readiness architecture.</x:v>
      </x:c>
      <x:c r="E8" s="12" t="str">
        <x:v>Supports Internal Audit and legal defensibility.</x:v>
      </x:c>
    </x:row>
    <x:row r="9" ht="26.399999618530273" hidden="0" customHeight="1">
      <x:c r="A9" s="12" t="str">
        <x:v>IP-08</x:v>
      </x:c>
      <x:c r="B9" s="12" t="str">
        <x:v>ISO/IEC 42001 certification</x:v>
      </x:c>
      <x:c r="C9" s="12" t="str">
        <x:v>Optional. The standard can be implemented/mapped without certification.</x:v>
      </x:c>
      <x:c r="D9" s="12" t="str">
        <x:v>Do not claim certification or legal compliance from mapping alone.</x:v>
      </x:c>
      <x:c r="E9" s="12" t="str">
        <x:v>Full clause-level conformity claims require authorized access to the standard text.</x:v>
      </x:c>
    </x:row>
  </x:sheetData>
  <x:pageMargins left="0.7" right="0.7" top="0.75" bottom="0.75" header="0.3" footer="0.3"/>
  <x:tableParts count="1">
    <x:tablePart xmlns:r="http://schemas.openxmlformats.org/officeDocument/2006/relationships" r:id="R782c92101e2e42af"/>
  </x:tableParts>
</x:worksheet>
</file>

<file path=xl/worksheets/sheet8.xml><?xml version="1.0" encoding="utf-8"?>
<x:worksheet xmlns:x="http://schemas.openxmlformats.org/spreadsheetml/2006/main">
  <x:sheetFormatPr defaultRowHeight="15"/>
  <x:cols>
    <x:col min="1" max="1" width="14" hidden="0" customWidth="1"/>
    <x:col min="2" max="2" width="22" hidden="0" customWidth="1"/>
    <x:col min="3" max="3" width="40" hidden="0" customWidth="1"/>
    <x:col min="4" max="4" width="14" hidden="0" customWidth="1"/>
    <x:col min="5" max="5" width="14" hidden="0" customWidth="1"/>
    <x:col min="6" max="6" width="38" hidden="0" customWidth="1"/>
    <x:col min="7" max="7" width="38" hidden="0" customWidth="1"/>
  </x:cols>
  <x:sheetData>
    <x:row r="1" ht="15" hidden="0" customHeight="1">
      <x:c r="A1" s="5" t="str">
        <x:v>Assumption ID</x:v>
      </x:c>
      <x:c r="B1" s="5" t="str">
        <x:v>Category</x:v>
      </x:c>
      <x:c r="C1" s="5" t="str">
        <x:v>Assumption</x:v>
      </x:c>
      <x:c r="D1" s="5" t="str">
        <x:v>Status</x:v>
      </x:c>
      <x:c r="E1" s="5" t="str">
        <x:v>Materiality</x:v>
      </x:c>
      <x:c r="F1" s="5" t="str">
        <x:v>Why It Matters</x:v>
      </x:c>
      <x:c r="G1" s="5" t="str">
        <x:v>Validation / Evidence Action</x:v>
      </x:c>
    </x:row>
    <x:row r="2" ht="26.399999618530273" hidden="0" customHeight="1">
      <x:c r="A2" s="12" t="str">
        <x:v>ASM-002</x:v>
      </x:c>
      <x:c r="B2" s="12" t="str">
        <x:v>Geography</x:v>
      </x:c>
      <x:c r="C2" s="12" t="str">
        <x:v>Duckworks operates primarily in the EU/EEA and sells products into European markets.</x:v>
      </x:c>
      <x:c r="D2" s="12" t="str">
        <x:v>Open</x:v>
      </x:c>
      <x:c r="E2" s="12" t="str">
        <x:v>High</x:v>
      </x:c>
      <x:c r="F2" s="12" t="str">
        <x:v>Drives EU regulatory screening and data/privacy considerations.</x:v>
      </x:c>
      <x:c r="G2" s="12" t="str">
        <x:v>Validate exact Member State and jurisdiction per use case.</x:v>
      </x:c>
    </x:row>
    <x:row r="3" ht="39.599998474121094" hidden="0" customHeight="1">
      <x:c r="A3" s="12" t="str">
        <x:v>ASM-005</x:v>
      </x:c>
      <x:c r="B3" s="12" t="str">
        <x:v>Human accountability</x:v>
      </x:c>
      <x:c r="C3" s="12" t="str">
        <x:v>Humans retain formal accountability for employment, product release, quality, procurement and material customer decisions.</x:v>
      </x:c>
      <x:c r="D3" s="12" t="str">
        <x:v>Open</x:v>
      </x:c>
      <x:c r="E3" s="12" t="str">
        <x:v>Critical</x:v>
      </x:c>
      <x:c r="F3" s="12" t="str">
        <x:v>Human oversight affects impact, regulatory and residual-risk conclusions.</x:v>
      </x:c>
      <x:c r="G3" s="12" t="str">
        <x:v>Validate decision authority per system.</x:v>
      </x:c>
    </x:row>
    <x:row r="4" ht="39.599998474121094" hidden="0" customHeight="1">
      <x:c r="A4" s="12" t="str">
        <x:v>ASM-006</x:v>
      </x:c>
      <x:c r="B4" s="12" t="str">
        <x:v>DuckTalent purpose</x:v>
      </x:c>
      <x:c r="C4" s="12" t="str">
        <x:v>DuckTalent parses, compares, ranks and recommends applicants but does not autonomously issue final rejection or hiring decisions.</x:v>
      </x:c>
      <x:c r="D4" s="12" t="str">
        <x:v>Validated</x:v>
      </x:c>
      <x:c r="E4" s="12" t="str">
        <x:v>Critical</x:v>
      </x:c>
      <x:c r="F4" s="12" t="str">
        <x:v>Material to AI Act/GDPR classification and human oversight.</x:v>
      </x:c>
      <x:c r="G4" s="12" t="str">
        <x:v>Retain system design and operating evidence.</x:v>
      </x:c>
    </x:row>
    <x:row r="5" ht="39.599998474121094" hidden="0" customHeight="1">
      <x:c r="A5" s="12" t="str">
        <x:v>ASM-007</x:v>
      </x:c>
      <x:c r="B5" s="12" t="str">
        <x:v>DuckDesign use</x:v>
      </x:c>
      <x:c r="C5" s="12" t="str">
        <x:v>DuckDesign outputs are advisory and require competent engineer review before prototyping or production.</x:v>
      </x:c>
      <x:c r="D5" s="12" t="str">
        <x:v>Open</x:v>
      </x:c>
      <x:c r="E5" s="12" t="str">
        <x:v>Critical</x:v>
      </x:c>
      <x:c r="F5" s="12" t="str">
        <x:v>Safety and product risk depend on meaningful engineering validation.</x:v>
      </x:c>
      <x:c r="G5" s="12" t="str">
        <x:v>Validate pilot operating procedure.</x:v>
      </x:c>
    </x:row>
    <x:row r="6" ht="39.599998474121094" hidden="0" customHeight="1">
      <x:c r="A6" s="12" t="str">
        <x:v>ASM-008</x:v>
      </x:c>
      <x:c r="B6" s="12" t="str">
        <x:v>WingInspect use</x:v>
      </x:c>
      <x:c r="C6" s="12" t="str">
        <x:v>WingInspect flags defects but qualified human inspectors retain final acceptance/rejection authority.</x:v>
      </x:c>
      <x:c r="D6" s="12" t="str">
        <x:v>Open</x:v>
      </x:c>
      <x:c r="E6" s="12" t="str">
        <x:v>Critical</x:v>
      </x:c>
      <x:c r="F6" s="12" t="str">
        <x:v>Quality/safety exposure changes if the model becomes autonomous.</x:v>
      </x:c>
      <x:c r="G6" s="12" t="str">
        <x:v>Validate manufacturing procedure.</x:v>
      </x:c>
    </x:row>
    <x:row r="7" ht="39.599998474121094" hidden="0" customHeight="1">
      <x:c r="A7" s="12" t="str">
        <x:v>ASM-012</x:v>
      </x:c>
      <x:c r="B7" s="12" t="str">
        <x:v>Third-party mix</x:v>
      </x:c>
      <x:c r="C7" s="12" t="str">
        <x:v>Duckworks uses a combination of internally developed AI components and third-party models/services.</x:v>
      </x:c>
      <x:c r="D7" s="12" t="str">
        <x:v>Validated</x:v>
      </x:c>
      <x:c r="E7" s="12" t="str">
        <x:v>High</x:v>
      </x:c>
      <x:c r="F7" s="12" t="str">
        <x:v>Requires both provider/deployer role analysis and supplier governance.</x:v>
      </x:c>
      <x:c r="G7" s="12" t="str">
        <x:v>Maintain architecture and contract evidence.</x:v>
      </x:c>
    </x:row>
    <x:row r="8" ht="26.399999618530273" hidden="0" customHeight="1">
      <x:c r="A8" s="12" t="str">
        <x:v>ASM-013</x:v>
      </x:c>
      <x:c r="B8" s="12" t="str">
        <x:v>Data</x:v>
      </x:c>
      <x:c r="C8" s="12" t="str">
        <x:v>AI systems may process confidential IP and selected customer, employee or applicant personal data.</x:v>
      </x:c>
      <x:c r="D8" s="12" t="str">
        <x:v>Validated</x:v>
      </x:c>
      <x:c r="E8" s="12" t="str">
        <x:v>High</x:v>
      </x:c>
      <x:c r="F8" s="12" t="str">
        <x:v>Drives GDPR, confidentiality, security and data-governance controls.</x:v>
      </x:c>
      <x:c r="G8" s="12" t="str">
        <x:v>Validate data categories per system.</x:v>
      </x:c>
    </x:row>
    <x:row r="9" ht="52.79999923706055" hidden="0" customHeight="1">
      <x:c r="A9" s="12" t="str">
        <x:v>ASM-020</x:v>
      </x:c>
      <x:c r="B9" s="12" t="str">
        <x:v>Product scope</x:v>
      </x:c>
      <x:c r="C9" s="12" t="str">
        <x:v>Some products may include digital or connected functionality; exact machinery/product/cybersecurity applicability is product-specific.</x:v>
      </x:c>
      <x:c r="D9" s="12" t="str">
        <x:v>Open</x:v>
      </x:c>
      <x:c r="E9" s="12" t="str">
        <x:v>High</x:v>
      </x:c>
      <x:c r="F9" s="12" t="str">
        <x:v>Determines machinery, CRA and AI Act product-route conclusions.</x:v>
      </x:c>
      <x:c r="G9" s="12" t="str">
        <x:v>Validate product architecture and safety function.</x:v>
      </x:c>
    </x:row>
  </x:sheetData>
  <x:conditionalFormatting sqref="D2:D50">
    <x:cfRule type="expression" dxfId="12" priority="1">
      <x:formula>D2="Open"</x:formula>
    </x:cfRule>
  </x:conditionalFormatting>
  <x:conditionalFormatting sqref="E2:E50">
    <x:cfRule type="expression" dxfId="13" priority="2">
      <x:formula>E2="Critical"</x:formula>
    </x:cfRule>
  </x:conditionalFormatting>
  <x:dataValidations count="1">
    <x:dataValidation type="list" sqref="D2:D50">
      <x:formula1>"Open,Validated,Superseded,Critical"</x:formula1>
    </x:dataValidation>
  </x:dataValidations>
  <x:pageMargins left="0.7" right="0.7" top="0.75" bottom="0.75" header="0.3" footer="0.3"/>
  <x:tableParts count="1">
    <x:tablePart xmlns:r="http://schemas.openxmlformats.org/officeDocument/2006/relationships" r:id="R4af7d9eb29064585"/>
  </x:tableParts>
</x:worksheet>
</file>

<file path=xl/worksheets/sheet9.xml><?xml version="1.0" encoding="utf-8"?>
<x:worksheet xmlns:x="http://schemas.openxmlformats.org/spreadsheetml/2006/main">
  <x:sheetFormatPr defaultRowHeight="15"/>
  <x:cols>
    <x:col min="1" max="1" width="12" hidden="0" customWidth="1"/>
    <x:col min="2" max="2" width="40" hidden="0" customWidth="1"/>
    <x:col min="3" max="3" width="38" hidden="0" customWidth="1"/>
    <x:col min="4" max="4" width="45" hidden="0" customWidth="1"/>
  </x:cols>
  <x:sheetData>
    <x:row r="1" ht="15" hidden="0" customHeight="1">
      <x:c r="A1" s="5" t="str">
        <x:v>Source ID</x:v>
      </x:c>
      <x:c r="B1" s="5" t="str">
        <x:v>Source</x:v>
      </x:c>
      <x:c r="C1" s="5" t="str">
        <x:v>Source Type</x:v>
      </x:c>
      <x:c r="D1" s="5" t="str">
        <x:v>Official / Public URL</x:v>
      </x:c>
    </x:row>
    <x:row r="2" ht="26.399999618530273" hidden="0" customHeight="1">
      <x:c r="A2" s="12" t="str">
        <x:v>S01</x:v>
      </x:c>
      <x:c r="B2" s="12" t="str">
        <x:v>EU Artificial Intelligence Act - Regulation (EU) 2024/1689, consolidated 27 July 2026</x:v>
      </x:c>
      <x:c r="C2" s="12" t="str">
        <x:v>Binding EU regulation</x:v>
      </x:c>
      <x:c r="D2" s="12" t="str">
        <x:v>https://eur-lex.europa.eu/eli/reg/2024/1689/2026-07-27/eng</x:v>
      </x:c>
    </x:row>
    <x:row r="3" ht="15" hidden="0" customHeight="1">
      <x:c r="A3" s="12" t="str">
        <x:v>S02</x:v>
      </x:c>
      <x:c r="B3" s="12" t="str">
        <x:v>Regulation (EU) 2026/1744 - Digital Omnibus on AI</x:v>
      </x:c>
      <x:c r="C3" s="12" t="str">
        <x:v>Binding amending EU regulation</x:v>
      </x:c>
      <x:c r="D3" s="12" t="str">
        <x:v>https://eur-lex.europa.eu/eli/reg/2026/1744/oj/eng</x:v>
      </x:c>
    </x:row>
    <x:row r="4" ht="26.399999618530273" hidden="0" customHeight="1">
      <x:c r="A4" s="12" t="str">
        <x:v>S03</x:v>
      </x:c>
      <x:c r="B4" s="12" t="str">
        <x:v>European Commission - AI Act regulatory framework / implementation timeline</x:v>
      </x:c>
      <x:c r="C4" s="12" t="str">
        <x:v>Official Commission information</x:v>
      </x:c>
      <x:c r="D4" s="12" t="str">
        <x:v>https://digital-strategy.ec.europa.eu/en/policies/regulatory-framework-ai</x:v>
      </x:c>
    </x:row>
    <x:row r="5" ht="26.399999618530273" hidden="0" customHeight="1">
      <x:c r="A5" s="12" t="str">
        <x:v>S04</x:v>
      </x:c>
      <x:c r="B5" s="12" t="str">
        <x:v>European Commission - AI Literacy: Questions &amp; Answers</x:v>
      </x:c>
      <x:c r="C5" s="12" t="str">
        <x:v>Official Commission interpretive guidance</x:v>
      </x:c>
      <x:c r="D5" s="12" t="str">
        <x:v>https://digital-strategy.ec.europa.eu/en/faqs/ai-literacy-questions-answers</x:v>
      </x:c>
    </x:row>
    <x:row r="6" ht="39.599998474121094" hidden="0" customHeight="1">
      <x:c r="A6" s="12" t="str">
        <x:v>S05</x:v>
      </x:c>
      <x:c r="B6" s="12" t="str">
        <x:v>European Commission - Guidelines on transparency obligations under Article 50</x:v>
      </x:c>
      <x:c r="C6" s="12" t="str">
        <x:v>Official Commission guidance</x:v>
      </x:c>
      <x:c r="D6" s="12" t="str">
        <x:v>https://digital-strategy.ec.europa.eu/en/library/guidelines-transparency-obligations-providers-and-deployers-ai-systems</x:v>
      </x:c>
    </x:row>
    <x:row r="7" ht="26.399999618530273" hidden="0" customHeight="1">
      <x:c r="A7" s="12" t="str">
        <x:v>S06</x:v>
      </x:c>
      <x:c r="B7" s="12" t="str">
        <x:v>European Commission - Code of Practice on Transparency of AI-generated Content</x:v>
      </x:c>
      <x:c r="C7" s="12" t="str">
        <x:v>Voluntary compliance tool endorsed by Commission/AI Board</x:v>
      </x:c>
      <x:c r="D7" s="12" t="str">
        <x:v>https://digital-strategy.ec.europa.eu/en/policies/code-practice-ai-generated-content</x:v>
      </x:c>
    </x:row>
    <x:row r="8" ht="26.399999618530273" hidden="0" customHeight="1">
      <x:c r="A8" s="12" t="str">
        <x:v>S07</x:v>
      </x:c>
      <x:c r="B8" s="12" t="str">
        <x:v>European Commission - Draft guidelines on classification of high-risk AI systems</x:v>
      </x:c>
      <x:c r="C8" s="12" t="str">
        <x:v>Draft, non-binding Commission guidance</x:v>
      </x:c>
      <x:c r="D8" s="12" t="str">
        <x:v>https://digital-strategy.ec.europa.eu/en/library/draft-commission-guidelines-classification-high-risk-ai-systems</x:v>
      </x:c>
    </x:row>
    <x:row r="9" ht="39.599998474121094" hidden="0" customHeight="1">
      <x:c r="A9" s="12" t="str">
        <x:v>S08</x:v>
      </x:c>
      <x:c r="B9" s="12" t="str">
        <x:v>European Commission - Guidelines on prohibited AI practices</x:v>
      </x:c>
      <x:c r="C9" s="12" t="str">
        <x:v>Non-binding Commission guidance</x:v>
      </x:c>
      <x:c r="D9" s="12" t="str">
        <x:v>https://digital-strategy.ec.europa.eu/en/library/commission-publishes-guidelines-prohibited-artificial-intelligence-ai-practices-defined-ai-act</x:v>
      </x:c>
    </x:row>
    <x:row r="10" ht="39.599998474121094" hidden="0" customHeight="1">
      <x:c r="A10" s="12" t="str">
        <x:v>S09</x:v>
      </x:c>
      <x:c r="B10" s="12" t="str">
        <x:v>European Commission - Guidelines on AI system definition</x:v>
      </x:c>
      <x:c r="C10" s="12" t="str">
        <x:v>Non-binding Commission guidance</x:v>
      </x:c>
      <x:c r="D10" s="12" t="str">
        <x:v>https://digital-strategy.ec.europa.eu/en/library/commission-publishes-guidelines-ai-system-definition-facilitate-first-ai-acts-rules-application</x:v>
      </x:c>
    </x:row>
    <x:row r="11" ht="26.399999618530273" hidden="0" customHeight="1">
      <x:c r="A11" s="12" t="str">
        <x:v>S10</x:v>
      </x:c>
      <x:c r="B11" s="12" t="str">
        <x:v>General Data Protection Regulation - Regulation (EU) 2016/679</x:v>
      </x:c>
      <x:c r="C11" s="12" t="str">
        <x:v>Binding EU regulation</x:v>
      </x:c>
      <x:c r="D11" s="12" t="str">
        <x:v>https://eur-lex.europa.eu/eli/reg/2016/679/oj/eng</x:v>
      </x:c>
    </x:row>
    <x:row r="12" ht="26.399999618530273" hidden="0" customHeight="1">
      <x:c r="A12" s="12" t="str">
        <x:v>S11</x:v>
      </x:c>
      <x:c r="B12" s="12" t="str">
        <x:v>EDPB - Guidelines on Automated Individual Decision-Making and Profiling</x:v>
      </x:c>
      <x:c r="C12" s="12" t="str">
        <x:v>Regulatory guidance endorsed by EDPB</x:v>
      </x:c>
      <x:c r="D12" s="12" t="str">
        <x:v>https://www.edpb.europa.eu/documents/guideline/automated-decision-making-and-profiling_en</x:v>
      </x:c>
    </x:row>
    <x:row r="13" ht="26.399999618530273" hidden="0" customHeight="1">
      <x:c r="A13" s="12" t="str">
        <x:v>S12</x:v>
      </x:c>
      <x:c r="B13" s="12" t="str">
        <x:v>EDPB - Endorsed WP29 Guidelines, including DPIA Guidelines WP248 rev.01</x:v>
      </x:c>
      <x:c r="C13" s="12" t="str">
        <x:v>Regulatory guidance</x:v>
      </x:c>
      <x:c r="D13" s="12" t="str">
        <x:v>https://www.edpb.europa.eu/endorsed-wp29-guidelines_en</x:v>
      </x:c>
    </x:row>
    <x:row r="14" ht="39.599998474121094" hidden="0" customHeight="1">
      <x:c r="A14" s="12" t="str">
        <x:v>S13</x:v>
      </x:c>
      <x:c r="B14" s="12" t="str">
        <x:v>EDPB Opinion 28/2024 on data protection aspects related to AI models</x:v>
      </x:c>
      <x:c r="C14" s="12" t="str">
        <x:v>Regulatory opinion</x:v>
      </x:c>
      <x:c r="D14" s="12" t="str">
        <x:v>https://www.edpb.europa.eu/documents/opinion-of-the-board-art-64/opinion-282024-on-certain-data-protection-aspects-related-to_en</x:v>
      </x:c>
    </x:row>
    <x:row r="15" ht="26.399999618530273" hidden="0" customHeight="1">
      <x:c r="A15" s="12" t="str">
        <x:v>S14</x:v>
      </x:c>
      <x:c r="B15" s="12" t="str">
        <x:v>Council Directive 2000/43/EC - racial or ethnic equality</x:v>
      </x:c>
      <x:c r="C15" s="12" t="str">
        <x:v>EU directive; national implementation required</x:v>
      </x:c>
      <x:c r="D15" s="12" t="str">
        <x:v>https://eur-lex.europa.eu/eli/dir/2000/43/oj/eng</x:v>
      </x:c>
    </x:row>
    <x:row r="16" ht="26.399999618530273" hidden="0" customHeight="1">
      <x:c r="A16" s="12" t="str">
        <x:v>S15</x:v>
      </x:c>
      <x:c r="B16" s="12" t="str">
        <x:v>Council Directive 2000/78/EC - equal treatment in employment and occupation</x:v>
      </x:c>
      <x:c r="C16" s="12" t="str">
        <x:v>EU directive; national implementation required</x:v>
      </x:c>
      <x:c r="D16" s="12" t="str">
        <x:v>https://eur-lex.europa.eu/eli/dir/2000/78/oj/eng</x:v>
      </x:c>
    </x:row>
    <x:row r="17" ht="26.399999618530273" hidden="0" customHeight="1">
      <x:c r="A17" s="12" t="str">
        <x:v>S16</x:v>
      </x:c>
      <x:c r="B17" s="12" t="str">
        <x:v>Directive 2006/54/EC - equal opportunities and equal treatment of men and women in employment</x:v>
      </x:c>
      <x:c r="C17" s="12" t="str">
        <x:v>EU directive; national implementation required</x:v>
      </x:c>
      <x:c r="D17" s="12" t="str">
        <x:v>https://eur-lex.europa.eu/eli/dir/2006/54/oj/eng</x:v>
      </x:c>
    </x:row>
    <x:row r="18" ht="26.399999618530273" hidden="0" customHeight="1">
      <x:c r="A18" s="12" t="str">
        <x:v>S17</x:v>
      </x:c>
      <x:c r="B18" s="12" t="str">
        <x:v>NIS2 Directive - Directive (EU) 2022/2555</x:v>
      </x:c>
      <x:c r="C18" s="12" t="str">
        <x:v>EU directive; national implementation required</x:v>
      </x:c>
      <x:c r="D18" s="12" t="str">
        <x:v>https://eur-lex.europa.eu/legal-content/EN/TXT/HTML/?uri=CELEX:02022L2555-20221227</x:v>
      </x:c>
    </x:row>
    <x:row r="19" ht="26.399999618530273" hidden="0" customHeight="1">
      <x:c r="A19" s="12" t="str">
        <x:v>S18</x:v>
      </x:c>
      <x:c r="B19" s="12" t="str">
        <x:v>European Commission - NIS2 Directive policy page</x:v>
      </x:c>
      <x:c r="C19" s="12" t="str">
        <x:v>Official Commission information</x:v>
      </x:c>
      <x:c r="D19" s="12" t="str">
        <x:v>https://digital-strategy.ec.europa.eu/en/policies/nis2-directive</x:v>
      </x:c>
    </x:row>
    <x:row r="20" ht="15" hidden="0" customHeight="1">
      <x:c r="A20" s="12" t="str">
        <x:v>S19</x:v>
      </x:c>
      <x:c r="B20" s="12" t="str">
        <x:v>Cyber Resilience Act - Regulation (EU) 2024/2847</x:v>
      </x:c>
      <x:c r="C20" s="12" t="str">
        <x:v>Binding EU regulation</x:v>
      </x:c>
      <x:c r="D20" s="12" t="str">
        <x:v>https://eur-lex.europa.eu/eli/reg/2024/2847/oj/eng</x:v>
      </x:c>
    </x:row>
    <x:row r="21" ht="39.599998474121094" hidden="0" customHeight="1">
      <x:c r="A21" s="12" t="str">
        <x:v>S20</x:v>
      </x:c>
      <x:c r="B21" s="12" t="str">
        <x:v>European Commission - 27 July 2026 CRA implementation guidance</x:v>
      </x:c>
      <x:c r="C21" s="12" t="str">
        <x:v>Official, non-binding Commission guidance</x:v>
      </x:c>
      <x:c r="D21" s="12" t="str">
        <x:v>https://digital-strategy.ec.europa.eu/en/library/commission-publishes-new-guidance-support-timely-cyber-resilience-act-implementation</x:v>
      </x:c>
    </x:row>
    <x:row r="22" ht="26.399999618530273" hidden="0" customHeight="1">
      <x:c r="A22" s="12" t="str">
        <x:v>S21</x:v>
      </x:c>
      <x:c r="B22" s="12" t="str">
        <x:v>Machinery Directive 2006/42/EC</x:v>
      </x:c>
      <x:c r="C22" s="12" t="str">
        <x:v>EU directive applicable until Machinery Regulation transition</x:v>
      </x:c>
      <x:c r="D22" s="12" t="str">
        <x:v>https://eur-lex.europa.eu/eli/dir/2006/42/oj/eng</x:v>
      </x:c>
    </x:row>
    <x:row r="23" ht="26.399999618530273" hidden="0" customHeight="1">
      <x:c r="A23" s="12" t="str">
        <x:v>S22</x:v>
      </x:c>
      <x:c r="B23" s="12" t="str">
        <x:v>Machinery Regulation - Regulation (EU) 2023/1230</x:v>
      </x:c>
      <x:c r="C23" s="12" t="str">
        <x:v>Binding EU regulation; generally applies from 20 January 2027</x:v>
      </x:c>
      <x:c r="D23" s="12" t="str">
        <x:v>https://eur-lex.europa.eu/eli/reg/2023/1230/oj/eng</x:v>
      </x:c>
    </x:row>
    <x:row r="24" ht="26.399999618530273" hidden="0" customHeight="1">
      <x:c r="A24" s="12" t="str">
        <x:v>S23</x:v>
      </x:c>
      <x:c r="B24" s="12" t="str">
        <x:v>EUR-Lex - Machinery safety requirements summary</x:v>
      </x:c>
      <x:c r="C24" s="12" t="str">
        <x:v>Official EU summary</x:v>
      </x:c>
      <x:c r="D24" s="12" t="str">
        <x:v>https://eur-lex.europa.eu/EN/legal-content/summary/machinery-safety-requirements.html</x:v>
      </x:c>
    </x:row>
    <x:row r="25" ht="26.399999618530273" hidden="0" customHeight="1">
      <x:c r="A25" s="12" t="str">
        <x:v>S24</x:v>
      </x:c>
      <x:c r="B25" s="12" t="str">
        <x:v>General Product Safety Regulation - Regulation (EU) 2023/988</x:v>
      </x:c>
      <x:c r="C25" s="12" t="str">
        <x:v>Binding EU regulation</x:v>
      </x:c>
      <x:c r="D25" s="12" t="str">
        <x:v>https://eur-lex.europa.eu/eli/reg/2023/988/oj/eng</x:v>
      </x:c>
    </x:row>
    <x:row r="26" ht="15" hidden="0" customHeight="1">
      <x:c r="A26" s="12" t="str">
        <x:v>S25</x:v>
      </x:c>
      <x:c r="B26" s="12" t="str">
        <x:v>Product Liability Directive - Directive (EU) 2024/2853</x:v>
      </x:c>
      <x:c r="C26" s="12" t="str">
        <x:v>EU directive; national implementation required</x:v>
      </x:c>
      <x:c r="D26" s="12" t="str">
        <x:v>https://eur-lex.europa.eu/eli/dir/2024/2853/oj/eng</x:v>
      </x:c>
    </x:row>
    <x:row r="27" ht="26.399999618530273" hidden="0" customHeight="1">
      <x:c r="A27" s="12" t="str">
        <x:v>S26</x:v>
      </x:c>
      <x:c r="B27" s="12" t="str">
        <x:v>NIST AI Risk Management Framework (AI RMF 1.0)</x:v>
      </x:c>
      <x:c r="C27" s="12" t="str">
        <x:v>Voluntary framework</x:v>
      </x:c>
      <x:c r="D27" s="12" t="str">
        <x:v>https://www.nist.gov/publications/artificial-intelligence-risk-management-framework-ai-rmf-10</x:v>
      </x:c>
    </x:row>
    <x:row r="28" ht="15" hidden="0" customHeight="1">
      <x:c r="A28" s="12" t="str">
        <x:v>S27</x:v>
      </x:c>
      <x:c r="B28" s="12" t="str">
        <x:v>NIST AI RMF Playbook</x:v>
      </x:c>
      <x:c r="C28" s="12" t="str">
        <x:v>Voluntary implementation guidance</x:v>
      </x:c>
      <x:c r="D28" s="12" t="str">
        <x:v>https://airc.nist.gov/airmf-resources/playbook/</x:v>
      </x:c>
    </x:row>
    <x:row r="29" ht="26.399999618530273" hidden="0" customHeight="1">
      <x:c r="A29" s="12" t="str">
        <x:v>S28</x:v>
      </x:c>
      <x:c r="B29" s="12" t="str">
        <x:v>NIST AI 600-1 - Generative AI Profile</x:v>
      </x:c>
      <x:c r="C29" s="12" t="str">
        <x:v>Voluntary NIST profile</x:v>
      </x:c>
      <x:c r="D29" s="12" t="str">
        <x:v>https://www.nist.gov/publications/artificial-intelligence-risk-management-framework-generative-artificial-intelligence</x:v>
      </x:c>
    </x:row>
    <x:row r="30" ht="39.599998474121094" hidden="0" customHeight="1">
      <x:c r="A30" s="12" t="str">
        <x:v>S29</x:v>
      </x:c>
      <x:c r="B30" s="12" t="str">
        <x:v>NIST SP 800-218A - Secure Software Development Practices for Generative AI and Dual-Use Foundation Models</x:v>
      </x:c>
      <x:c r="C30" s="12" t="str">
        <x:v>Voluntary NIST secure development guidance</x:v>
      </x:c>
      <x:c r="D30" s="12" t="str">
        <x:v>https://csrc.nist.gov/pubs/sp/800/218/a/final</x:v>
      </x:c>
    </x:row>
    <x:row r="31" ht="26.399999618530273" hidden="0" customHeight="1">
      <x:c r="A31" s="12" t="str">
        <x:v>S30</x:v>
      </x:c>
      <x:c r="B31" s="12" t="str">
        <x:v>ISO/IEC 42001:2023 - Artificial intelligence management system</x:v>
      </x:c>
      <x:c r="C31" s="12" t="str">
        <x:v>International management system standard</x:v>
      </x:c>
      <x:c r="D31" s="12" t="str">
        <x:v>https://www.iso.org/standard/42001</x:v>
      </x:c>
    </x:row>
    <x:row r="32" ht="26.399999618530273" hidden="0" customHeight="1">
      <x:c r="A32" s="12" t="str">
        <x:v>S31</x:v>
      </x:c>
      <x:c r="B32" s="12" t="str">
        <x:v>ISO/IEC 23894:2023 - Guidance on AI risk management</x:v>
      </x:c>
      <x:c r="C32" s="12" t="str">
        <x:v>International guidance standard</x:v>
      </x:c>
      <x:c r="D32" s="12" t="str">
        <x:v>https://www.iso.org/standard/77304.html</x:v>
      </x:c>
    </x:row>
    <x:row r="33" ht="15" hidden="0" customHeight="1">
      <x:c r="A33" s="12" t="str">
        <x:v>S32</x:v>
      </x:c>
      <x:c r="B33" s="12" t="str">
        <x:v>ISO/IEC 42005:2025 - AI system impact assessment</x:v>
      </x:c>
      <x:c r="C33" s="12" t="str">
        <x:v>International guidance standard</x:v>
      </x:c>
      <x:c r="D33" s="12" t="str">
        <x:v>https://www.iso.org/standard/42005</x:v>
      </x:c>
    </x:row>
    <x:row r="34" ht="26.399999618530273" hidden="0" customHeight="1">
      <x:c r="A34" s="12" t="str">
        <x:v>S33</x:v>
      </x:c>
      <x:c r="B34" s="12" t="str">
        <x:v>ISO/IEC 27001:2022 - Information security management systems</x:v>
      </x:c>
      <x:c r="C34" s="12" t="str">
        <x:v>International management system standard</x:v>
      </x:c>
      <x:c r="D34" s="12" t="str">
        <x:v>https://www.iso.org/standard/27001</x:v>
      </x:c>
    </x:row>
    <x:row r="35" ht="26.399999618530273" hidden="0" customHeight="1">
      <x:c r="A35" s="12" t="str">
        <x:v>S34</x:v>
      </x:c>
      <x:c r="B35" s="12" t="str">
        <x:v>ISO/IEC 27005:2022 - Information security risk management</x:v>
      </x:c>
      <x:c r="C35" s="12" t="str">
        <x:v>International guidance standard</x:v>
      </x:c>
      <x:c r="D35" s="12" t="str">
        <x:v>https://www.iso.org/standard/80585.html</x:v>
      </x:c>
    </x:row>
    <x:row r="36" ht="15" hidden="0" customHeight="1">
      <x:c r="A36" s="12" t="str">
        <x:v>S35</x:v>
      </x:c>
      <x:c r="B36" s="12" t="str">
        <x:v>ISO 31000:2018 - Risk management guidelines</x:v>
      </x:c>
      <x:c r="C36" s="12" t="str">
        <x:v>International guidance standard</x:v>
      </x:c>
      <x:c r="D36" s="12" t="str">
        <x:v>https://www.iso.org/standard/65694.html</x:v>
      </x:c>
    </x:row>
    <x:row r="37" ht="26.399999618530273" hidden="0" customHeight="1">
      <x:c r="A37" s="12" t="str">
        <x:v>S36</x:v>
      </x:c>
      <x:c r="B37" s="12" t="str">
        <x:v>ENISA - Multilayer Framework for Good Cybersecurity Practices for AI</x:v>
      </x:c>
      <x:c r="C37" s="12" t="str">
        <x:v>Official EU cybersecurity good-practice guidance</x:v>
      </x:c>
      <x:c r="D37" s="12" t="str">
        <x:v>https://www.enisa.europa.eu/publications/multilayer-framework-for-good-cybersecurity-practices-for-ai</x:v>
      </x:c>
    </x:row>
    <x:row r="38" ht="26.399999618530273" hidden="0" customHeight="1">
      <x:c r="A38" s="12" t="str">
        <x:v>S37</x:v>
      </x:c>
      <x:c r="B38" s="12" t="str">
        <x:v>ENISA - Cybersecurity of AI and Standardisation</x:v>
      </x:c>
      <x:c r="C38" s="12" t="str">
        <x:v>Official EU cybersecurity/standardisation guidance</x:v>
      </x:c>
      <x:c r="D38" s="12" t="str">
        <x:v>https://www.enisa.europa.eu/publications/cybersecurity-of-ai-and-standardisation</x:v>
      </x:c>
    </x:row>
    <x:row r="39" ht="15" hidden="0" customHeight="1">
      <x:c r="A39" s="12" t="str">
        <x:v>S38</x:v>
      </x:c>
      <x:c r="B39" s="12" t="str">
        <x:v>OECD AI Principles</x:v>
      </x:c>
      <x:c r="C39" s="12" t="str">
        <x:v>Intergovernmental responsible-AI principles</x:v>
      </x:c>
      <x:c r="D39" s="12" t="str">
        <x:v>https://oecd.ai/en/ai-principles</x:v>
      </x:c>
    </x:row>
    <x:row r="40" ht="15" hidden="0" customHeight="1">
      <x:c r="A40" s="12" t="str">
        <x:v>S39</x:v>
      </x:c>
      <x:c r="B40" s="12" t="str">
        <x:v>MITRE ATLAS</x:v>
      </x:c>
      <x:c r="C40" s="12" t="str">
        <x:v>Recognized AI adversarial threat knowledge base</x:v>
      </x:c>
      <x:c r="D40" s="12" t="str">
        <x:v>https://atlas.mitre.org/</x:v>
      </x:c>
    </x:row>
    <x:row r="41" ht="15" hidden="0" customHeight="1">
      <x:c r="A41" s="12" t="str">
        <x:v>S40</x:v>
      </x:c>
      <x:c r="B41" s="12" t="str">
        <x:v>OWASP GenAI Security Project / LLM Top 10</x:v>
      </x:c>
      <x:c r="C41" s="12" t="str">
        <x:v>Community security guidance</x:v>
      </x:c>
      <x:c r="D41" s="12" t="str">
        <x:v>https://genai.owasp.org/</x:v>
      </x:c>
    </x:row>
  </x:sheetData>
  <x:pageMargins left="0.7" right="0.7" top="0.75" bottom="0.75" header="0.3" footer="0.3"/>
  <x:tableParts count="1">
    <x:tablePart xmlns:r="http://schemas.openxmlformats.org/officeDocument/2006/relationships" r:id="R15c13b65a50f4639"/>
  </x:tableParts>
</x:worksheet>
</file>

<file path=xl/worksheets/sheet10.xml><?xml version="1.0" encoding="utf-8"?>
<x:worksheet xmlns:x="http://schemas.openxmlformats.org/spreadsheetml/2006/main">
  <x:sheetFormatPr defaultRowHeight="15"/>
  <x:cols>
    <x:col min="1" max="1" width="32" hidden="0" customWidth="1"/>
    <x:col min="2" max="2" width="25" hidden="0" customWidth="1"/>
    <x:col min="3" max="3" width="25" hidden="0" customWidth="1"/>
    <x:col min="4" max="4" width="25" hidden="0" customWidth="1"/>
    <x:col min="5" max="5" width="25" hidden="0" customWidth="1"/>
    <x:col min="6" max="6" width="25" hidden="0" customWidth="1"/>
  </x:cols>
  <x:sheetData>
    <x:row r="1">
      <x:c r="A1" s="16" t="str">
        <x:v>READ ME - Classification, evidence hierarchy and maintenance</x:v>
      </x:c>
      <x:c r="B1" s="16"/>
      <x:c r="C1" s="16"/>
      <x:c r="D1" s="16"/>
      <x:c r="E1" s="16"/>
      <x:c r="F1" s="16"/>
    </x:row>
    <x:row r="2">
      <x:c r="A2" s="16"/>
      <x:c r="B2" s="16"/>
      <x:c r="C2" s="16"/>
      <x:c r="D2" s="16"/>
      <x:c r="E2" s="16"/>
      <x:c r="F2" s="16"/>
    </x:row>
    <x:row r="4">
      <x:c r="A4" s="23" t="str">
        <x:v>Mandatory legal requirements</x:v>
      </x:c>
      <x:c r="B4" s="12" t="str">
        <x:v>Binding EU Regulations apply according to scope and application dates. EU Directives require Member-State transposition; no final national-law conclusion is claimed.</x:v>
      </x:c>
      <x:c r="C4" s="12" t="str"/>
      <x:c r="D4" s="12" t="str"/>
      <x:c r="E4" s="12" t="str"/>
      <x:c r="F4" s="12" t="str"/>
    </x:row>
    <x:row r="5">
      <x:c r="A5" s="23" t="str">
        <x:v>Official guidance</x:v>
      </x:c>
      <x:c r="B5" s="12" t="str">
        <x:v>Commission, EDPB and ENISA materials support interpretation and implementation. Non-binding or draft status is explicitly identified.</x:v>
      </x:c>
      <x:c r="C5" s="12" t="str"/>
      <x:c r="D5" s="12" t="str"/>
      <x:c r="E5" s="12" t="str"/>
      <x:c r="F5" s="12" t="str"/>
    </x:row>
    <x:row r="6">
      <x:c r="A6" s="23" t="str">
        <x:v>Voluntary standards/frameworks</x:v>
      </x:c>
      <x:c r="B6" s="12" t="str">
        <x:v>ISO, NIST, OECD, MITRE and OWASP support governance/control design but do not independently prove EU legal compliance or certification.</x:v>
      </x:c>
      <x:c r="C6" s="12" t="str"/>
      <x:c r="D6" s="12" t="str"/>
      <x:c r="E6" s="12" t="str"/>
      <x:c r="F6" s="12" t="str"/>
    </x:row>
    <x:row r="7">
      <x:c r="A7" s="23" t="str">
        <x:v>Recommended organizational practices</x:v>
      </x:c>
      <x:c r="B7" s="12" t="str">
        <x:v>Inventory, AI Governance Committee, enterprise AIA, evidence repository and internal risk ratings are Duckworks governance practices unless a specific legal duty applies.</x:v>
      </x:c>
      <x:c r="C7" s="12" t="str"/>
      <x:c r="D7" s="12" t="str"/>
      <x:c r="E7" s="12" t="str"/>
      <x:c r="F7" s="12" t="str"/>
    </x:row>
    <x:row r="8">
      <x:c r="A8" s="23" t="str">
        <x:v>Project assumptions</x:v>
      </x:c>
      <x:c r="B8" s="12" t="str">
        <x:v>Jurisdiction, provider/deployer role, decision authority, data scope and product architecture are explicit assumptions. Material changes trigger reassessment.</x:v>
      </x:c>
      <x:c r="C8" s="12" t="str"/>
      <x:c r="D8" s="12" t="str"/>
      <x:c r="E8" s="12" t="str"/>
      <x:c r="F8" s="12" t="str"/>
    </x:row>
    <x:row r="9">
      <x:c r="A9" s="23" t="str">
        <x:v>ISO limitation</x:v>
      </x:c>
      <x:c r="B9" s="12" t="str">
        <x:v>Only public ISO descriptions are used. Detailed clause-level conformity claims require authorized access to the standard text.</x:v>
      </x:c>
      <x:c r="C9" s="12" t="str"/>
      <x:c r="D9" s="12" t="str"/>
      <x:c r="E9" s="12" t="str"/>
      <x:c r="F9" s="12" t="str"/>
    </x:row>
    <x:row r="10">
      <x:c r="A10" s="23" t="str">
        <x:v>Research maintenance</x:v>
      </x:c>
      <x:c r="B10" s="12" t="str">
        <x:v>Re-check consolidated AI Act and CRA implementation material before time-sensitive statements. Map national law for NIS2, equality directives and Product Liability Directive.</x:v>
      </x:c>
      <x:c r="C10" s="12" t="str"/>
      <x:c r="D10" s="12" t="str"/>
      <x:c r="E10" s="12" t="str"/>
      <x:c r="F10" s="12" t="str"/>
    </x:row>
    <x:row r="11">
      <x:c r="A11" s="23" t="str">
        <x:v>Portfolio disclaimer</x:v>
      </x:c>
      <x:c r="B11" s="12" t="str">
        <x:v>Duckworks, Project W.I.N.G., people, systems, datasets, risks and decisions are fictional. This is not legal advice, certification evidence or an independent audit opinion.</x:v>
      </x:c>
      <x:c r="C11" s="12" t="str"/>
      <x:c r="D11" s="12" t="str"/>
      <x:c r="E11" s="12" t="str"/>
      <x:c r="F11" s="12" t="str"/>
    </x:row>
  </x:sheetData>
  <x:mergeCells>
    <x:mergeCell ref="A1:F2"/>
    <x:mergeCell ref="B4:F4"/>
    <x:mergeCell ref="B5:F5"/>
    <x:mergeCell ref="B6:F6"/>
    <x:mergeCell ref="B7:F7"/>
    <x:mergeCell ref="B8:F8"/>
    <x:mergeCell ref="B9:F9"/>
    <x:mergeCell ref="B10:F10"/>
    <x:mergeCell ref="B11:F11"/>
  </x:mergeCells>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20" hidden="0" customWidth="1"/>
    <x:col min="3" max="3" width="38" hidden="0" customWidth="1"/>
    <x:col min="4" max="4" width="30" hidden="0" customWidth="1"/>
    <x:col min="5" max="5" width="40" hidden="0" customWidth="1"/>
    <x:col min="6" max="6" width="18" hidden="0" customWidth="1"/>
    <x:col min="7" max="7" width="14" hidden="0" customWidth="1"/>
    <x:col min="8" max="8" width="12" hidden="0" customWidth="1"/>
  </x:cols>
  <x:sheetData>
    <x:row r="1">
      <x:c r="A1" s="30" t="str">
        <x:v>DUCKWORKS - AI GOVERNANCE REGULATORY &amp; FRAMEWORK REGISTER</x:v>
      </x:c>
      <x:c r="B1" s="30"/>
      <x:c r="C1" s="30"/>
      <x:c r="D1" s="30"/>
      <x:c r="E1" s="30"/>
      <x:c r="F1" s="30"/>
      <x:c r="G1" s="30"/>
      <x:c r="H1" s="30"/>
    </x:row>
    <x:row r="2">
      <x:c r="A2" s="30"/>
      <x:c r="B2" s="30"/>
      <x:c r="C2" s="30"/>
      <x:c r="D2" s="30"/>
      <x:c r="E2" s="30"/>
      <x:c r="F2" s="30"/>
      <x:c r="G2" s="30"/>
      <x:c r="H2" s="30"/>
    </x:row>
    <x:row r="3">
      <x:c r="A3" s="34" t="str">
        <x:v>Research baseline: 10 August 2026 | DW-WING-REG-01 | Version 1.0 | Fictional / synthetic / non-production</x:v>
      </x:c>
      <x:c r="B3" s="34"/>
      <x:c r="C3" s="34"/>
      <x:c r="D3" s="34"/>
      <x:c r="E3" s="34"/>
      <x:c r="F3" s="34"/>
      <x:c r="G3" s="34"/>
      <x:c r="H3" s="34"/>
    </x:row>
    <x:row r="5">
      <x:c r="A5" s="40" t="str">
        <x:v>Legal findings</x:v>
      </x:c>
      <x:c r="B5" s="50" t="str">
        <x:v>Official guidance</x:v>
      </x:c>
      <x:c r="C5" s="40" t="str">
        <x:v>Voluntary frameworks</x:v>
      </x:c>
      <x:c r="D5" s="50" t="str">
        <x:v>AI systems</x:v>
      </x:c>
      <x:c r="E5" s="40" t="str">
        <x:v>Priority actions</x:v>
      </x:c>
      <x:c r="F5" s="50" t="str">
        <x:v>Public sources</x:v>
      </x:c>
    </x:row>
    <x:row r="6">
      <x:c r="A6" s="40" t="n">
        <x:f>COUNTA('Legal Requirements'!A2:A200)</x:f>
        <x:v>35</x:v>
      </x:c>
      <x:c r="B6" s="50" t="n">
        <x:f>COUNTA('Official Guidance'!A2:A100)</x:f>
        <x:v>12</x:v>
      </x:c>
      <x:c r="C6" s="40" t="n">
        <x:f>COUNTA(Frameworks!A2:A100)</x:f>
        <x:v>13</x:v>
      </x:c>
      <x:c r="D6" s="50" t="n">
        <x:f>COUNTA('System Applicability'!A2:A50)</x:f>
        <x:v>7</x:v>
      </x:c>
      <x:c r="E6" s="40" t="n">
        <x:f>COUNTA('Action Register'!A2:A100)</x:f>
        <x:v>18</x:v>
      </x:c>
      <x:c r="F6" s="50" t="n">
        <x:f>COUNTA(Sources!A2:A100)</x:f>
        <x:v>40</x:v>
      </x:c>
    </x:row>
    <x:row r="8">
      <x:c r="A8" s="56" t="str">
        <x:v>Current regulatory position</x:v>
      </x:c>
      <x:c r="B8" s="56"/>
      <x:c r="C8" s="56"/>
      <x:c r="D8" s="56"/>
      <x:c r="E8" s="56"/>
      <x:c r="F8" s="56"/>
      <x:c r="G8" s="56"/>
      <x:c r="H8" s="56"/>
    </x:row>
    <x:row r="9" ht="34" customHeight="1">
      <x:c r="A9" s="23" t="str">
        <x:v>Current legal priorities</x:v>
      </x:c>
      <x:c r="B9" s="12" t="str">
        <x:v>AI Act Art. 4 literacy; Art. 5 prohibited-practice screening; Art. 50 transparency; GDPR; employment equality; current machinery/product safety; likely NIS2 applicability assessment; CRA reporting readiness.</x:v>
      </x:c>
      <x:c r="C9" s="12" t="str"/>
      <x:c r="D9" s="12" t="str"/>
      <x:c r="E9" s="12" t="str"/>
      <x:c r="F9" s="12" t="str"/>
      <x:c r="G9" s="12" t="str"/>
      <x:c r="H9" s="12" t="str"/>
    </x:row>
    <x:row r="10" ht="34" customHeight="1">
      <x:c r="A10" s="23" t="str">
        <x:v>DuckTalent</x:v>
      </x:c>
      <x:c r="B10" s="12" t="str">
        <x:v>Preliminary Annex III point 4(a) high-risk design target. Keep blocked from unrestricted production; complete legal classification, GDPR DPIA screening, fairness validation and meaningful-human-review design.</x:v>
      </x:c>
      <x:c r="C10" s="12" t="str"/>
      <x:c r="D10" s="12" t="str"/>
      <x:c r="E10" s="12" t="str"/>
      <x:c r="F10" s="12" t="str"/>
      <x:c r="G10" s="12" t="str"/>
      <x:c r="H10" s="12" t="str"/>
    </x:row>
    <x:row r="11" ht="34" customHeight="1">
      <x:c r="A11" s="23" t="str">
        <x:v>QuackBot</x:v>
      </x:c>
      <x:c r="B11" s="12" t="str">
        <x:v>Article 50 interaction transparency is operational now. Explicit customer-facing AI disclosure is the defensible implementation.</x:v>
      </x:c>
      <x:c r="C11" s="12" t="str"/>
      <x:c r="D11" s="12" t="str"/>
      <x:c r="E11" s="12" t="str"/>
      <x:c r="F11" s="12" t="str"/>
      <x:c r="G11" s="12" t="str"/>
      <x:c r="H11" s="12" t="str"/>
    </x:row>
    <x:row r="12" ht="34" customHeight="1">
      <x:c r="A12" s="23" t="str">
        <x:v>Product AI</x:v>
      </x:c>
      <x:c r="B12" s="12" t="str">
        <x:v>DuckDesign/WingInspect are not automatically high-risk under the AI Act. Validate regulated product/safety-component status and Article 6(1) conditions.</x:v>
      </x:c>
      <x:c r="C12" s="12" t="str"/>
      <x:c r="D12" s="12" t="str"/>
      <x:c r="E12" s="12" t="str"/>
      <x:c r="F12" s="12" t="str"/>
      <x:c r="G12" s="12" t="str"/>
      <x:c r="H12" s="12" t="str"/>
    </x:row>
    <x:row r="13" ht="34" customHeight="1">
      <x:c r="A13" s="23" t="str">
        <x:v>Evidence hierarchy</x:v>
      </x:c>
      <x:c r="B13" s="12" t="str">
        <x:v>Binding law -&gt; official regulator guidance -&gt; ISO/NIST/ENISA -&gt; recognized technical guidance -&gt; Duckworks internal controls/assumptions.</x:v>
      </x:c>
      <x:c r="C13" s="12" t="str"/>
      <x:c r="D13" s="12" t="str"/>
      <x:c r="E13" s="12" t="str"/>
      <x:c r="F13" s="12" t="str"/>
      <x:c r="G13" s="12" t="str"/>
      <x:c r="H13" s="12" t="str"/>
    </x:row>
    <x:row r="14" ht="34" customHeight="1">
      <x:c r="A14" s="23" t="str">
        <x:v>Key limitation</x:v>
      </x:c>
      <x:c r="B14" s="12" t="str">
        <x:v>No fixed Member State or final provider/deployer role is assumed. EU directives require mapping to national implementing law before real compliance conclusions.</x:v>
      </x:c>
      <x:c r="C14" s="12" t="str"/>
      <x:c r="D14" s="12" t="str"/>
      <x:c r="E14" s="12" t="str"/>
      <x:c r="F14" s="12" t="str"/>
      <x:c r="G14" s="12" t="str"/>
      <x:c r="H14" s="12" t="str"/>
    </x:row>
    <x:row r="17" ht="28" customHeight="1">
      <x:c r="A17" s="4" t="str">
        <x:v>Legal finding classification</x:v>
      </x:c>
      <x:c r="B17" s="3" t="str">
        <x:v>Count</x:v>
      </x:c>
    </x:row>
    <x:row r="18" ht="28" customHeight="1">
      <x:c r="A18" s="10" t="str">
        <x:v>Mandatory legal requirement</x:v>
      </x:c>
      <x:c r="B18" t="n">
        <x:f>COUNTIF('Legal Requirements'!$B$2:$B$200,A18)</x:f>
        <x:v>7</x:v>
      </x:c>
    </x:row>
    <x:row r="19" ht="28" customHeight="1">
      <x:c r="A19" s="10" t="str">
        <x:v>Conditional mandatory requirement</x:v>
      </x:c>
      <x:c r="B19" t="n">
        <x:f>COUNTIF('Legal Requirements'!$B$2:$B$200,A19)</x:f>
        <x:v>4</x:v>
      </x:c>
    </x:row>
    <x:row r="20" ht="28" customHeight="1">
      <x:c r="A20" s="10" t="str">
        <x:v>Future mandatory high-risk requirement</x:v>
      </x:c>
      <x:c r="B20" t="n">
        <x:f>COUNTIF('Legal Requirements'!$B$2:$B$200,A20)</x:f>
        <x:v>7</x:v>
      </x:c>
    </x:row>
    <x:row r="21" ht="28" customHeight="1">
      <x:c r="A21" s="10" t="str">
        <x:v>Scope-dependent mandatory requirement</x:v>
      </x:c>
      <x:c r="B21" t="n">
        <x:f>COUNTIF('Legal Requirements'!$B$2:$B$200,A21)</x:f>
        <x:v>4</x:v>
      </x:c>
    </x:row>
    <x:row r="22" ht="28" customHeight="1">
      <x:c r="A22" s="10" t="str">
        <x:v>Mandatory through national law</x:v>
      </x:c>
      <x:c r="B22" t="n">
        <x:f>COUNTIF('Legal Requirements'!$B$2:$B$200,A22)</x:f>
        <x:v>3</x:v>
      </x:c>
    </x:row>
    <x:row r="23" ht="28" customHeight="1">
      <x:c r="A23" s="10" t="str">
        <x:v>Other legal/timing conclusions</x:v>
      </x:c>
      <x:c r="B23" t="n">
        <x:f>COUNTA('Legal Requirements'!A2:A200)-SUM(B18:B22)</x:f>
        <x:v>10</x:v>
      </x:c>
    </x:row>
    <x:row r="32">
      <x:c r="A32" s="56" t="str">
        <x:v>Immediate priority actions</x:v>
      </x:c>
      <x:c r="B32" s="56"/>
      <x:c r="C32" s="56"/>
      <x:c r="D32" s="56"/>
      <x:c r="E32" s="56"/>
      <x:c r="F32" s="56"/>
      <x:c r="G32" s="56"/>
      <x:c r="H32" s="56"/>
    </x:row>
    <x:row r="33">
      <x:c r="A33" s="4" t="str">
        <x:v>ID</x:v>
      </x:c>
      <x:c r="B33" s="4" t="str">
        <x:v>Priority</x:v>
      </x:c>
      <x:c r="C33" s="4" t="str">
        <x:v>Action</x:v>
      </x:c>
      <x:c r="D33" s="4" t="str">
        <x:v>Owner</x:v>
      </x:c>
      <x:c r="E33" s="4" t="str">
        <x:v>Why</x:v>
      </x:c>
      <x:c r="F33" s="4" t="str">
        <x:v>Trace</x:v>
      </x:c>
      <x:c r="G33" s="4" t="str">
        <x:v>Status</x:v>
      </x:c>
    </x:row>
    <x:row r="34">
      <x:c r="A34" s="10" t="str">
        <x:v>P0-01</x:v>
      </x:c>
      <x:c r="B34" s="10" t="str">
        <x:v>Immediate</x:v>
      </x:c>
      <x:c r="C34" s="10" t="str">
        <x:v>Implement QuackBot AI disclosure</x:v>
      </x:c>
      <x:c r="D34" s="10" t="str">
        <x:v>Customer Operations / Legal / AI Governance</x:v>
      </x:c>
      <x:c r="E34" s="10" t="str">
        <x:v>Art. 50 applies now; QuackBot is directly interactive.</x:v>
      </x:c>
      <x:c r="F34" s="10" t="str">
        <x:v>L-05</x:v>
      </x:c>
      <x:c r="G34" s="10" t="str">
        <x:v>Open</x:v>
      </x:c>
    </x:row>
    <x:row r="35">
      <x:c r="A35" s="10" t="str">
        <x:v>P0-02</x:v>
      </x:c>
      <x:c r="B35" s="10" t="str">
        <x:v>Immediate</x:v>
      </x:c>
      <x:c r="C35" s="10" t="str">
        <x:v>Operationalize role-based AI literacy and evidence records</x:v>
      </x:c>
      <x:c r="D35" s="10" t="str">
        <x:v>AI Governance / HR / System Owners</x:v>
      </x:c>
      <x:c r="E35" s="10" t="str">
        <x:v>Art. 4 already applies across Duckworks AI use.</x:v>
      </x:c>
      <x:c r="F35" s="10" t="str">
        <x:v>L-03</x:v>
      </x:c>
      <x:c r="G35" s="10" t="str">
        <x:v>Open</x:v>
      </x:c>
    </x:row>
    <x:row r="36">
      <x:c r="A36" s="10" t="str">
        <x:v>P0-03</x:v>
      </x:c>
      <x:c r="B36" s="10" t="str">
        <x:v>Immediate</x:v>
      </x:c>
      <x:c r="C36" s="10" t="str">
        <x:v>Add prohibited-practice screening to AI intake/change process</x:v>
      </x:c>
      <x:c r="D36" s="10" t="str">
        <x:v>Legal / AI Governance</x:v>
      </x:c>
      <x:c r="E36" s="10" t="str">
        <x:v>Current legal gate; future functionality can change classification.</x:v>
      </x:c>
      <x:c r="F36" s="10" t="str">
        <x:v>L-04</x:v>
      </x:c>
      <x:c r="G36" s="10" t="str">
        <x:v>Open</x:v>
      </x:c>
    </x:row>
    <x:row r="37">
      <x:c r="A37" s="10" t="str">
        <x:v>P0-04</x:v>
      </x:c>
      <x:c r="B37" s="10" t="str">
        <x:v>Immediate</x:v>
      </x:c>
      <x:c r="C37" s="10" t="str">
        <x:v>Contain and decompose shadow GenAI use</x:v>
      </x:c>
      <x:c r="D37" s="10" t="str">
        <x:v>CISO / AI Governance / IT</x:v>
      </x:c>
      <x:c r="E37" s="10" t="str">
        <x:v>Unknown tools may process confidential or personal data without review.</x:v>
      </x:c>
      <x:c r="F37" s="10" t="str">
        <x:v>L-16, L-20</x:v>
      </x:c>
      <x:c r="G37" s="10" t="str">
        <x:v>Open</x:v>
      </x:c>
    </x:row>
    <x:row r="38">
      <x:c r="A38" s="10" t="str">
        <x:v>P0-05</x:v>
      </x:c>
      <x:c r="B38" s="10" t="str">
        <x:v>Immediate</x:v>
      </x:c>
      <x:c r="C38" s="10" t="str">
        <x:v>Keep DuckTalent blocked from unrestricted production</x:v>
      </x:c>
      <x:c r="D38" s="10" t="str">
        <x:v>CPO / Legal / CRCO</x:v>
      </x:c>
      <x:c r="E38" s="10" t="str">
        <x:v>Likely Annex III high-risk and unresolved privacy/fairness/human oversight issues.</x:v>
      </x:c>
      <x:c r="F38" s="10" t="str">
        <x:v>L-08, L-18, L-19</x:v>
      </x:c>
      <x:c r="G38" s="10" t="str">
        <x:v>Open</x:v>
      </x:c>
    </x:row>
    <x:row r="39">
      <x:c r="A39" s="10" t="str">
        <x:v>P0-06</x:v>
      </x:c>
      <x:c r="B39" s="10" t="str">
        <x:v>Immediate</x:v>
      </x:c>
      <x:c r="C39" s="10" t="str">
        <x:v>Perform CRA product scoping and reporting-readiness assessment</x:v>
      </x:c>
      <x:c r="D39" s="10" t="str">
        <x:v>Product Security / Legal / CISO</x:v>
      </x:c>
      <x:c r="E39" s="10" t="str">
        <x:v>Art. 14 reporting starts 11 Sep 2026 for in-scope products.</x:v>
      </x:c>
      <x:c r="F39" s="10" t="str">
        <x:v>L-29, L-30</x:v>
      </x:c>
      <x:c r="G39" s="10" t="str">
        <x:v>Open</x:v>
      </x:c>
    </x:row>
    <x:row r="40">
      <x:c r="A40" s="10" t="str">
        <x:v>P0-07</x:v>
      </x:c>
      <x:c r="B40" s="10" t="str">
        <x:v>Immediate</x:v>
      </x:c>
      <x:c r="C40" s="10" t="str">
        <x:v>Assign AI Act provider/deployer roles per system</x:v>
      </x:c>
      <x:c r="D40" s="10" t="str">
        <x:v>Legal / Procurement / AI Governance</x:v>
      </x:c>
      <x:c r="E40" s="10" t="str">
        <x:v>Obligations materially differ by economic-operator role.</x:v>
      </x:c>
      <x:c r="F40" s="10" t="str">
        <x:v>L-02, L-14</x:v>
      </x:c>
      <x:c r="G40" s="10" t="str">
        <x:v>Open</x:v>
      </x:c>
    </x:row>
  </x:sheetData>
  <x:mergeCells>
    <x:mergeCell ref="A1:H2"/>
    <x:mergeCell ref="A3:H3"/>
    <x:mergeCell ref="A8:H8"/>
    <x:mergeCell ref="B9:H9"/>
    <x:mergeCell ref="B10:H10"/>
    <x:mergeCell ref="B11:H11"/>
    <x:mergeCell ref="B12:H12"/>
    <x:mergeCell ref="B13:H13"/>
    <x:mergeCell ref="B14:H14"/>
    <x:mergeCell ref="A32:H32"/>
  </x:mergeCells>
  <x:pageMargins left="0.7" right="0.7" top="0.75" bottom="0.75" header="0.3" footer="0.3"/>
  <x:drawing xmlns:r="http://schemas.openxmlformats.org/officeDocument/2006/relationships" r:id="R5c41ecd65ebf424e"/>
</x:worksheet>
</file>