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077ba717554b69" /></Relationships>
</file>

<file path=xl/workbook.xml><?xml version="1.0" encoding="utf-8"?>
<x:workbook xmlns:x="http://schemas.openxmlformats.org/spreadsheetml/2006/main">
  <x:sheets>
    <x:sheet xmlns:r="http://schemas.openxmlformats.org/officeDocument/2006/relationships" name="AI RACI Matrix" sheetId="1" r:id="Rc1f9c82a6a0f4711"/>
    <x:sheet xmlns:r="http://schemas.openxmlformats.org/officeDocument/2006/relationships" name="Role Directory" sheetId="2" r:id="Rc9564d631e7a4d26"/>
    <x:sheet xmlns:r="http://schemas.openxmlformats.org/officeDocument/2006/relationships" name="System Owner Map" sheetId="3" r:id="R37388817a0be45fe"/>
    <x:sheet xmlns:r="http://schemas.openxmlformats.org/officeDocument/2006/relationships" name="RACI Guidance" sheetId="4" r:id="Rbadf3668418c4664"/>
    <x:sheet xmlns:r="http://schemas.openxmlformats.org/officeDocument/2006/relationships" name="Source Basis" sheetId="5" r:id="Rd40b6998a6954798"/>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i/>
      <x:sz val="10"/>
      <x:color rgb="FF1F2937"/>
      <x:name val="Carlito"/>
    </x:font>
    <x:font>
      <x:sz val="9"/>
      <x:color rgb="FF1F2937"/>
      <x:name val="Carlito"/>
    </x:font>
    <x:font>
      <x:b/>
      <x:sz val="9"/>
      <x:color rgb="FFFFFFFF"/>
      <x:name val="Carlito"/>
    </x:font>
    <x:font>
      <x:b/>
      <x:sz val="9"/>
      <x:color rgb="FF17365D"/>
      <x:name val="Carlito"/>
    </x:font>
    <x:font>
      <x:b/>
      <x:sz val="9"/>
      <x:color rgb="FF1F2937"/>
      <x:name val="Carlito"/>
    </x:font>
    <x:font>
      <x:b/>
      <x:sz val="15"/>
      <x:color rgb="FFFFFFFF"/>
      <x:name val="Carlito"/>
    </x:font>
    <x:font>
      <x:b/>
      <x:sz val="11"/>
      <x:color rgb="FFFFFFFF"/>
      <x:name val="Carlito"/>
    </x:font>
    <x:font>
      <x:sz val="10"/>
      <x:color rgb="FF1F2937"/>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FF8E1"/>
      </x:patternFill>
    </x:fill>
    <x:fill>
      <x:patternFill patternType="solid">
        <x:fgColor rgb="FFF2F4F7"/>
      </x:patternFill>
    </x:fill>
    <x:fill>
      <x:patternFill patternType="solid">
        <x:fgColor rgb="FFFFFFFF"/>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5"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3" fillId="5" borderId="1" xfId="0" applyNumberFormat="1" applyFont="1" applyFill="1" applyBorder="1" applyAlignment="1">
      <x:alignment horizontal="center" vertical="top" wrapText="1"/>
    </x:xf>
    <x:xf numFmtId="0" fontId="5"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0" xfId="0" applyNumberFormat="1" applyFont="1" applyFill="1" applyBorder="1" applyAlignment="1">
      <x:alignment horizontal="center" vertical="top" wrapText="1"/>
    </x:xf>
    <x:xf numFmtId="0" fontId="3" fillId="6"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5" fillId="5" borderId="5" xfId="0" applyNumberFormat="1" applyFont="1" applyFill="1" applyBorder="1" applyAlignment="1">
      <x:alignment vertical="top" wrapText="1"/>
    </x:xf>
    <x:xf numFmtId="0" fontId="3" fillId="5" borderId="6" xfId="0" applyNumberFormat="1" applyFont="1" applyFill="1" applyBorder="1" applyAlignment="1">
      <x:alignment horizontal="center" vertical="top" wrapText="1"/>
    </x:xf>
    <x:xf numFmtId="0" fontId="5" fillId="6" borderId="5" xfId="0" applyNumberFormat="1" applyFont="1" applyFill="1" applyBorder="1" applyAlignment="1">
      <x:alignment vertical="top" wrapText="1"/>
    </x:xf>
    <x:xf numFmtId="0" fontId="3" fillId="6" borderId="6" xfId="0" applyNumberFormat="1" applyFont="1" applyFill="1" applyBorder="1" applyAlignment="1">
      <x:alignment horizontal="center" vertical="top" wrapText="1"/>
    </x:xf>
    <x:xf numFmtId="0" fontId="5" fillId="6" borderId="7" xfId="0" applyNumberFormat="1" applyFont="1" applyFill="1" applyBorder="1" applyAlignment="1">
      <x:alignment vertical="top" wrapText="1"/>
    </x:xf>
    <x:xf numFmtId="0" fontId="6" fillId="6" borderId="8" xfId="0" applyNumberFormat="1" applyFont="1" applyFill="1" applyBorder="1" applyAlignment="1">
      <x:alignment vertical="top" wrapText="1"/>
    </x:xf>
    <x:xf numFmtId="0" fontId="3" fillId="6" borderId="8" xfId="0" applyNumberFormat="1" applyFont="1" applyFill="1" applyBorder="1" applyAlignment="1">
      <x:alignment vertical="top" wrapText="1"/>
    </x:xf>
    <x:xf numFmtId="0" fontId="3" fillId="0" borderId="8" xfId="0" applyNumberFormat="1" applyFont="1" applyFill="1" applyBorder="1" applyAlignment="1">
      <x:alignment horizontal="center" vertical="top" wrapText="1"/>
    </x:xf>
    <x:xf numFmtId="0" fontId="3" fillId="6" borderId="8" xfId="0" applyNumberFormat="1" applyFont="1" applyFill="1" applyBorder="1" applyAlignment="1">
      <x:alignment horizontal="center" vertical="top" wrapText="1"/>
    </x:xf>
    <x:xf numFmtId="0" fontId="3" fillId="6" borderId="9" xfId="0" applyNumberFormat="1" applyFont="1" applyFill="1" applyBorder="1" applyAlignment="1">
      <x:alignment horizontal="center" vertical="top" wrapText="1"/>
    </x:xf>
    <x:xf numFmtId="0" fontId="4" fillId="2" borderId="10" xfId="0" applyNumberFormat="1" applyFont="1" applyFill="1" applyBorder="1" applyAlignment="1">
      <x:alignment horizontal="center" vertical="center" wrapText="1"/>
    </x:xf>
    <x:xf numFmtId="0" fontId="4" fillId="2" borderId="11" xfId="0" applyNumberFormat="1" applyFont="1" applyFill="1" applyBorder="1" applyAlignment="1">
      <x:alignment horizontal="center" vertical="center" wrapText="1"/>
    </x:xf>
    <x:xf numFmtId="0" fontId="4" fillId="2" borderId="12" xfId="0" applyNumberFormat="1" applyFont="1" applyFill="1" applyBorder="1" applyAlignment="1">
      <x:alignment horizontal="center" vertical="center" wrapText="1"/>
    </x:xf>
    <x:xf numFmtId="0" fontId="5" fillId="5" borderId="13" xfId="0" applyNumberFormat="1" applyFont="1" applyFill="1" applyBorder="1" applyAlignment="1">
      <x:alignment vertical="top" wrapText="1"/>
    </x:xf>
    <x:xf numFmtId="0" fontId="3" fillId="5" borderId="14" xfId="0" applyNumberFormat="1" applyFont="1" applyFill="1" applyBorder="1" applyAlignment="1">
      <x:alignment horizontal="center" vertical="top" wrapText="1"/>
    </x:xf>
    <x:xf numFmtId="0" fontId="5" fillId="6" borderId="13" xfId="0" applyNumberFormat="1" applyFont="1" applyFill="1" applyBorder="1" applyAlignment="1">
      <x:alignment vertical="top" wrapText="1"/>
    </x:xf>
    <x:xf numFmtId="0" fontId="3" fillId="6" borderId="14" xfId="0" applyNumberFormat="1" applyFont="1" applyFill="1" applyBorder="1" applyAlignment="1">
      <x:alignment horizontal="center" vertical="top" wrapText="1"/>
    </x:xf>
    <x:xf numFmtId="0" fontId="5" fillId="6" borderId="15" xfId="0" applyNumberFormat="1" applyFont="1" applyFill="1" applyBorder="1" applyAlignment="1">
      <x:alignment vertical="top" wrapText="1"/>
    </x:xf>
    <x:xf numFmtId="0" fontId="6" fillId="6" borderId="16" xfId="0" applyNumberFormat="1" applyFont="1" applyFill="1" applyBorder="1" applyAlignment="1">
      <x:alignment vertical="top" wrapText="1"/>
    </x:xf>
    <x:xf numFmtId="0" fontId="3" fillId="6" borderId="16" xfId="0" applyNumberFormat="1" applyFont="1" applyFill="1" applyBorder="1" applyAlignment="1">
      <x:alignment vertical="top" wrapText="1"/>
    </x:xf>
    <x:xf numFmtId="0" fontId="3" fillId="0" borderId="16" xfId="0" applyNumberFormat="1" applyFont="1" applyFill="1" applyBorder="1" applyAlignment="1">
      <x:alignment horizontal="center" vertical="top" wrapText="1"/>
    </x:xf>
    <x:xf numFmtId="0" fontId="3" fillId="6" borderId="16" xfId="0" applyNumberFormat="1" applyFont="1" applyFill="1" applyBorder="1" applyAlignment="1">
      <x:alignment horizontal="center" vertical="top" wrapText="1"/>
    </x:xf>
    <x:xf numFmtId="0" fontId="3" fillId="6" borderId="17" xfId="0" applyNumberFormat="1" applyFont="1" applyFill="1" applyBorder="1" applyAlignment="1">
      <x:alignment horizontal="center" vertical="top"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x:xf numFmtId="0" fontId="7" fillId="2" borderId="1" xfId="0" applyNumberFormat="1" applyFont="1" applyFill="1" applyBorder="1" applyAlignment="1">
      <x:alignment vertical="center"/>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16"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4" fillId="2" borderId="2" xfId="0" applyNumberFormat="1" applyFont="1" applyFill="1" applyBorder="1" applyAlignment="1">
      <x:alignment horizontal="center" wrapText="1"/>
    </x:xf>
    <x:xf numFmtId="0" fontId="4" fillId="2" borderId="3" xfId="0" applyNumberFormat="1" applyFont="1" applyFill="1" applyBorder="1" applyAlignment="1">
      <x:alignment horizontal="center" wrapText="1"/>
    </x:xf>
    <x:xf numFmtId="0" fontId="4" fillId="2" borderId="4" xfId="0" applyNumberFormat="1" applyFont="1" applyFill="1" applyBorder="1" applyAlignment="1">
      <x:alignment horizontal="center" wrapText="1"/>
    </x:xf>
    <x:xf numFmtId="0" fontId="4" fillId="2" borderId="10" xfId="0" applyNumberFormat="1" applyFont="1" applyFill="1" applyBorder="1" applyAlignment="1">
      <x:alignment horizontal="center" wrapText="1"/>
    </x:xf>
    <x:xf numFmtId="0" fontId="4" fillId="2" borderId="11" xfId="0" applyNumberFormat="1" applyFont="1" applyFill="1" applyBorder="1" applyAlignment="1">
      <x:alignment horizontal="center" wrapText="1"/>
    </x:xf>
    <x:xf numFmtId="0" fontId="4" fillId="2" borderId="12" xfId="0" applyNumberFormat="1" applyFont="1" applyFill="1" applyBorder="1" applyAlignment="1">
      <x:alignment horizontal="center"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1" xfId="0" applyNumberFormat="1" applyFont="1" applyFill="1" applyBorder="1" applyAlignment="1">
      <x:alignment wrapText="1"/>
    </x:xf>
    <x:xf numFmtId="0" fontId="8" fillId="2" borderId="1" xfId="0" applyNumberFormat="1" applyFont="1" applyFill="1" applyBorder="1" applyAlignment="1">
      <x:alignment horizontal="center" wrapText="1"/>
    </x:xf>
    <x:xf numFmtId="0" fontId="8" fillId="2" borderId="2" xfId="0" applyNumberFormat="1" applyFont="1" applyFill="1" applyBorder="1" applyAlignment="1">
      <x:alignment horizontal="center"/>
    </x:xf>
    <x:xf numFmtId="0" fontId="8" fillId="2" borderId="4" xfId="0" applyNumberFormat="1" applyFont="1" applyFill="1" applyBorder="1" applyAlignment="1">
      <x:alignment horizontal="center"/>
    </x:xf>
    <x:xf numFmtId="0" fontId="9" fillId="0" borderId="5" xfId="0" applyNumberFormat="1" applyFont="1" applyFill="1" applyBorder="1" applyAlignment="1">
      <x:alignment vertical="top" wrapText="1"/>
    </x:xf>
    <x:xf numFmtId="0" fontId="9" fillId="0" borderId="6" xfId="0" applyNumberFormat="1" applyFont="1" applyFill="1" applyBorder="1" applyAlignment="1">
      <x:alignment vertical="top" wrapText="1"/>
    </x:xf>
    <x:xf numFmtId="0" fontId="9" fillId="0" borderId="7" xfId="0" applyNumberFormat="1" applyFont="1" applyFill="1" applyBorder="1" applyAlignment="1">
      <x:alignment vertical="top" wrapText="1"/>
    </x:xf>
    <x:xf numFmtId="0" fontId="9" fillId="0" borderId="9" xfId="0" applyNumberFormat="1" applyFont="1" applyFill="1" applyBorder="1" applyAlignment="1">
      <x:alignment vertical="top" wrapText="1"/>
    </x:xf>
    <x:xf numFmtId="0" fontId="8" fillId="2" borderId="10" xfId="0" applyNumberFormat="1" applyFont="1" applyFill="1" applyBorder="1" applyAlignment="1">
      <x:alignment horizontal="center"/>
    </x:xf>
    <x:xf numFmtId="0" fontId="8" fillId="2" borderId="12" xfId="0" applyNumberFormat="1" applyFont="1" applyFill="1" applyBorder="1" applyAlignment="1">
      <x:alignment horizontal="center"/>
    </x:xf>
    <x:xf numFmtId="0" fontId="9" fillId="0" borderId="13" xfId="0" applyNumberFormat="1" applyFont="1" applyFill="1" applyBorder="1" applyAlignment="1">
      <x:alignment vertical="top" wrapText="1"/>
    </x:xf>
    <x:xf numFmtId="0" fontId="9" fillId="0" borderId="14" xfId="0" applyNumberFormat="1" applyFont="1" applyFill="1" applyBorder="1" applyAlignment="1">
      <x:alignment vertical="top" wrapText="1"/>
    </x:xf>
    <x:xf numFmtId="0" fontId="9" fillId="0" borderId="15" xfId="0" applyNumberFormat="1" applyFont="1" applyFill="1" applyBorder="1" applyAlignment="1">
      <x:alignment vertical="top" wrapText="1"/>
    </x:xf>
    <x:xf numFmtId="0" fontId="9" fillId="0" borderId="17" xfId="0" applyNumberFormat="1" applyFont="1" applyFill="1" applyBorder="1" applyAlignment="1">
      <x:alignment vertical="top" wrapText="1"/>
    </x:xf>
    <x:xf numFmtId="0" fontId="8" fillId="2" borderId="2" xfId="0" applyNumberFormat="1" applyFont="1" applyFill="1" applyBorder="1" applyAlignment="1">
      <x:alignment horizontal="center" wrapText="1"/>
    </x:xf>
    <x:xf numFmtId="0" fontId="8" fillId="2" borderId="3" xfId="0" applyNumberFormat="1" applyFont="1" applyFill="1" applyBorder="1" applyAlignment="1">
      <x:alignment horizontal="center" wrapText="1"/>
    </x:xf>
    <x:xf numFmtId="0" fontId="8" fillId="2" borderId="4" xfId="0" applyNumberFormat="1" applyFont="1" applyFill="1" applyBorder="1" applyAlignment="1">
      <x:alignment horizont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8" fillId="2" borderId="10" xfId="0" applyNumberFormat="1" applyFont="1" applyFill="1" applyBorder="1" applyAlignment="1">
      <x:alignment horizontal="center" wrapText="1"/>
    </x:xf>
    <x:xf numFmtId="0" fontId="8" fillId="2" borderId="11" xfId="0" applyNumberFormat="1" applyFont="1" applyFill="1" applyBorder="1" applyAlignment="1">
      <x:alignment horizontal="center" wrapText="1"/>
    </x:xf>
    <x:xf numFmtId="0" fontId="8" fillId="2" borderId="12" xfId="0" applyNumberFormat="1" applyFont="1" applyFill="1" applyBorder="1" applyAlignment="1">
      <x:alignment horizont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6" xfId="0" applyNumberFormat="1" applyFont="1" applyFill="1" applyBorder="1"/>
    <x:xf numFmtId="0" fontId="3" fillId="0" borderId="17" xfId="0" applyNumberFormat="1" applyFont="1" applyFill="1" applyBorder="1"/>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6" xfId="0" applyNumberFormat="1" applyFont="1" applyFill="1" applyBorder="1" applyAlignment="1">
      <x:alignment wrapText="1"/>
    </x:xf>
    <x:xf numFmtId="0" fontId="3" fillId="0" borderId="17" xfId="0" applyNumberFormat="1" applyFont="1" applyFill="1" applyBorder="1" applyAlignment="1">
      <x:alignment wrapText="1"/>
    </x:xf>
  </x:cellXfs>
  <x:cellStyles count="1">
    <x:cellStyle name="Normal" xfId="0"/>
  </x:cellStyles>
  <x:dxfs count="7">
    <x:dxf>
      <x:font>
        <x:b/>
        <x:color rgb="FF1F2937"/>
      </x:font>
      <x:fill>
        <x:patternFill patternType="solid">
          <x:bgColor rgb="FFD9EAD3"/>
        </x:patternFill>
      </x:fill>
    </x:dxf>
    <x:dxf>
      <x:font>
        <x:b/>
        <x:color rgb="FF1F2937"/>
      </x:font>
      <x:fill>
        <x:patternFill patternType="solid">
          <x:bgColor rgb="FFEADCF8"/>
        </x:patternFill>
      </x:fill>
    </x:dxf>
    <x:dxf>
      <x:font>
        <x:b/>
        <x:color rgb="FF1F2937"/>
      </x:font>
      <x:fill>
        <x:patternFill patternType="solid">
          <x:bgColor rgb="FFD9EAF7"/>
        </x:patternFill>
      </x:fill>
    </x:dxf>
    <x:dxf>
      <x:font>
        <x:color rgb="FF1F2937"/>
      </x:font>
      <x:fill>
        <x:patternFill patternType="solid">
          <x:bgColor rgb="FFFFF2CC"/>
        </x:patternFill>
      </x:fill>
    </x:dxf>
    <x:dxf>
      <x:font>
        <x:color rgb="FF667085"/>
      </x:font>
      <x:fill>
        <x:patternFill patternType="solid">
          <x:bgColor rgb="FFF2F4F7"/>
        </x:patternFill>
      </x:fill>
    </x:dxf>
    <x:dxf>
      <x:font>
        <x:b/>
        <x:color rgb="FF1F2937"/>
      </x:font>
      <x:fill>
        <x:patternFill patternType="solid">
          <x:bgColor rgb="FFF4CCCC"/>
        </x:patternFill>
      </x:fill>
    </x:dxf>
    <x:dxf>
      <x:font>
        <x:b/>
        <x:color rgb="FF1F2937"/>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7a45cc09004b38" /><Relationship Type="http://schemas.openxmlformats.org/officeDocument/2006/relationships/theme" Target="/xl/theme/theme1.xml" Id="Rd2c59ac0bc814bf4" /><Relationship Type="http://schemas.openxmlformats.org/officeDocument/2006/relationships/sharedStrings" Target="/xl/sharedStrings.xml" Id="Rd8335304b9324a83" /><Relationship Type="http://schemas.openxmlformats.org/officeDocument/2006/relationships/worksheet" Target="/xl/worksheets/sheet1.xml" Id="Rc1f9c82a6a0f4711" /><Relationship Type="http://schemas.openxmlformats.org/officeDocument/2006/relationships/worksheet" Target="/xl/worksheets/sheet2.xml" Id="Rc9564d631e7a4d26" /><Relationship Type="http://schemas.openxmlformats.org/officeDocument/2006/relationships/worksheet" Target="/xl/worksheets/sheet3.xml" Id="R37388817a0be45fe" /><Relationship Type="http://schemas.openxmlformats.org/officeDocument/2006/relationships/worksheet" Target="/xl/worksheets/sheet4.xml" Id="Rbadf3668418c4664" /><Relationship Type="http://schemas.openxmlformats.org/officeDocument/2006/relationships/worksheet" Target="/xl/worksheets/sheet5.xml" Id="Rd40b6998a695479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0" hidden="0" customWidth="1"/>
    <x:col min="3" max="3" width="38" hidden="0" customWidth="1"/>
    <x:col min="4" max="4" width="15" hidden="0" customWidth="1"/>
    <x:col min="5" max="5" width="10" hidden="0" customWidth="1"/>
    <x:col min="6" max="6" width="10" hidden="0" customWidth="1"/>
    <x:col min="7" max="7" width="18" hidden="0" customWidth="1"/>
    <x:col min="8" max="8" width="20" hidden="0" customWidth="1"/>
    <x:col min="9" max="9" width="20" hidden="0" customWidth="1"/>
    <x:col min="10" max="10" width="10" hidden="0" customWidth="1"/>
    <x:col min="11" max="11" width="15" hidden="0" customWidth="1"/>
    <x:col min="12" max="12" width="10" hidden="0" customWidth="1"/>
    <x:col min="13" max="13" width="18" hidden="0" customWidth="1"/>
    <x:col min="14" max="14" width="20" hidden="0" customWidth="1"/>
    <x:col min="15" max="15" width="18" hidden="0" customWidth="1"/>
    <x:col min="16" max="16" width="18" hidden="0" customWidth="1"/>
    <x:col min="17" max="17" width="14" hidden="0" customWidth="1"/>
    <x:col min="18" max="18" width="18" hidden="0" customWidth="1"/>
    <x:col min="19" max="19" width="42" hidden="0" customWidth="1"/>
    <x:col min="20" max="20" width="9" hidden="0" customWidth="1"/>
    <x:col min="21" max="21" width="10" hidden="0" customWidth="1"/>
  </x:cols>
  <x:sheetData>
    <x:row r="1" ht="28" customHeight="1">
      <x:c r="A1" s="5" t="str">
        <x:v>DUCKWORKS | PROJECT W.I.N.G. — AI RACI CHART</x:v>
      </x:c>
      <x:c r="B1" s="5"/>
      <x:c r="C1" s="5"/>
      <x:c r="D1" s="5"/>
      <x:c r="E1" s="5"/>
      <x:c r="F1" s="5"/>
      <x:c r="G1" s="5"/>
      <x:c r="H1" s="5"/>
      <x:c r="I1" s="5"/>
      <x:c r="J1" s="5"/>
      <x:c r="K1" s="5"/>
      <x:c r="L1" s="5"/>
      <x:c r="M1" s="5"/>
      <x:c r="N1" s="5"/>
      <x:c r="O1" s="5"/>
      <x:c r="P1" s="5"/>
      <x:c r="Q1" s="5"/>
      <x:c r="R1" s="5"/>
      <x:c r="S1" s="5"/>
      <x:c r="T1" s="5"/>
      <x:c r="U1" s="5"/>
    </x:row>
    <x:row r="2" ht="32" customHeight="1">
      <x:c r="A2" s="13" t="str">
        <x:v>Version 1.0 | Portfolio baseline | Fictional organization and synthetic data | Purpose: assign accountability across the Duckworks AI lifecycle while preserving three-lines independence.</x:v>
      </x:c>
      <x:c r="B2" s="13"/>
      <x:c r="C2" s="13"/>
      <x:c r="D2" s="13"/>
      <x:c r="E2" s="13"/>
      <x:c r="F2" s="13"/>
      <x:c r="G2" s="13"/>
      <x:c r="H2" s="13"/>
      <x:c r="I2" s="13"/>
      <x:c r="J2" s="13"/>
      <x:c r="K2" s="13"/>
      <x:c r="L2" s="13"/>
      <x:c r="M2" s="13"/>
      <x:c r="N2" s="13"/>
      <x:c r="O2" s="13"/>
      <x:c r="P2" s="13"/>
      <x:c r="Q2" s="13"/>
      <x:c r="R2" s="13"/>
      <x:c r="S2" s="13"/>
      <x:c r="T2" s="13"/>
      <x:c r="U2" s="13"/>
    </x:row>
    <x:row r="3" ht="42" customHeight="1">
      <x:c r="A3" s="21" t="str">
        <x:v>Design note: Source artifacts define the principal roles and governance responsibilities. This matrix operationalizes those responsibilities into activity-level RACI assignments. Where an activity-level assignment is not explicit in the source artifacts, it is a Duckworks project design decision.</x:v>
      </x:c>
      <x:c r="B3" s="21"/>
      <x:c r="C3" s="21"/>
      <x:c r="D3" s="21"/>
      <x:c r="E3" s="21"/>
      <x:c r="F3" s="21"/>
      <x:c r="G3" s="21"/>
      <x:c r="H3" s="21"/>
      <x:c r="I3" s="21"/>
      <x:c r="J3" s="21"/>
      <x:c r="K3" s="21"/>
      <x:c r="L3" s="21"/>
      <x:c r="M3" s="21"/>
      <x:c r="N3" s="21"/>
      <x:c r="O3" s="21"/>
      <x:c r="P3" s="21"/>
      <x:c r="Q3" s="21"/>
      <x:c r="R3" s="21"/>
      <x:c r="S3" s="21"/>
      <x:c r="T3" s="21"/>
      <x:c r="U3" s="21"/>
    </x:row>
    <x:row r="5" ht="42" customHeight="1">
      <x:c r="A5" s="62" t="str">
        <x:v>ID</x:v>
      </x:c>
      <x:c r="B5" s="63" t="str">
        <x:v>Lifecycle Stage</x:v>
      </x:c>
      <x:c r="C5" s="63" t="str">
        <x:v>Governance Activity</x:v>
      </x:c>
      <x:c r="D5" s="63" t="str">
        <x:v>CEO / Executive Sponsor</x:v>
      </x:c>
      <x:c r="E5" s="63" t="str">
        <x:v>CTO</x:v>
      </x:c>
      <x:c r="F5" s="63" t="str">
        <x:v>CRCO</x:v>
      </x:c>
      <x:c r="G5" s="63" t="str">
        <x:v>AI Governance Lead</x:v>
      </x:c>
      <x:c r="H5" s="63" t="str">
        <x:v>Business / AI System Owner</x:v>
      </x:c>
      <x:c r="I5" s="63" t="str">
        <x:v>Technical Owner / Data &amp; AI</x:v>
      </x:c>
      <x:c r="J5" s="63" t="str">
        <x:v>CISO</x:v>
      </x:c>
      <x:c r="K5" s="63" t="str">
        <x:v>General Counsel</x:v>
      </x:c>
      <x:c r="L5" s="63" t="str">
        <x:v>DPO</x:v>
      </x:c>
      <x:c r="M5" s="63" t="str">
        <x:v>Chief People Officer / HR</x:v>
      </x:c>
      <x:c r="N5" s="63" t="str">
        <x:v>Procurement &amp; Vendor Assurance</x:v>
      </x:c>
      <x:c r="O5" s="63" t="str">
        <x:v>Product Safety &amp; Quality</x:v>
      </x:c>
      <x:c r="P5" s="63" t="str">
        <x:v>AI Governance Committee</x:v>
      </x:c>
      <x:c r="Q5" s="63" t="str">
        <x:v>Internal Audit</x:v>
      </x:c>
      <x:c r="R5" s="63" t="str">
        <x:v>Board Audit &amp; Risk Committee</x:v>
      </x:c>
      <x:c r="S5" s="63" t="str">
        <x:v>Notes / Trigger</x:v>
      </x:c>
      <x:c r="T5" s="63" t="str">
        <x:v>A Count</x:v>
      </x:c>
      <x:c r="U5" s="64" t="str">
        <x:v>QA</x:v>
      </x:c>
    </x:row>
    <x:row r="6">
      <x:c r="A6" s="65" t="str">
        <x:v>GOV-01</x:v>
      </x:c>
      <x:c r="B6" s="47" t="str">
        <x:v>Governance &amp; Strategy</x:v>
      </x:c>
      <x:c r="C6" s="48" t="str">
        <x:v>Set enterprise AI risk appetite</x:v>
      </x:c>
      <x:c r="D6" s="44" t="str">
        <x:v>A</x:v>
      </x:c>
      <x:c r="E6" s="44" t="str">
        <x:v>C</x:v>
      </x:c>
      <x:c r="F6" s="44" t="str">
        <x:v>R</x:v>
      </x:c>
      <x:c r="G6" s="44" t="str">
        <x:v>C</x:v>
      </x:c>
      <x:c r="H6" s="44" t="str">
        <x:v>I</x:v>
      </x:c>
      <x:c r="I6" s="44" t="str">
        <x:v>I</x:v>
      </x:c>
      <x:c r="J6" s="44" t="str">
        <x:v>C</x:v>
      </x:c>
      <x:c r="K6" s="44" t="str">
        <x:v>C</x:v>
      </x:c>
      <x:c r="L6" s="44" t="str">
        <x:v>C</x:v>
      </x:c>
      <x:c r="M6" s="44" t="str">
        <x:v>C</x:v>
      </x:c>
      <x:c r="N6" s="44" t="str">
        <x:v>I</x:v>
      </x:c>
      <x:c r="O6" s="44" t="str">
        <x:v>C</x:v>
      </x:c>
      <x:c r="P6" s="44" t="str">
        <x:v>C</x:v>
      </x:c>
      <x:c r="Q6" s="44" t="str">
        <x:v>I</x:v>
      </x:c>
      <x:c r="R6" s="44" t="str">
        <x:v>C</x:v>
      </x:c>
      <x:c r="S6" s="48" t="str">
        <x:v>Executive risk appetite; Critical residual risk is normally outside production tolerance.</x:v>
      </x:c>
      <x:c r="T6" s="52" t="n">
        <x:f>COUNTIF(D6:R6,"A")+COUNTIF(D6:R6,"A/R")</x:f>
        <x:v>1</x:v>
      </x:c>
      <x:c r="U6" s="66" t="str">
        <x:f>IF(T6=1,"OK","REVIEW")</x:f>
        <x:v>OK</x:v>
      </x:c>
    </x:row>
    <x:row r="7">
      <x:c r="A7" s="65" t="str">
        <x:v>GOV-02</x:v>
      </x:c>
      <x:c r="B7" s="47" t="str">
        <x:v>Governance &amp; Strategy</x:v>
      </x:c>
      <x:c r="C7" s="48" t="str">
        <x:v>Approve enterprise AI governance policy and standards</x:v>
      </x:c>
      <x:c r="D7" s="44" t="str">
        <x:v>I</x:v>
      </x:c>
      <x:c r="E7" s="44" t="str">
        <x:v>C</x:v>
      </x:c>
      <x:c r="F7" s="44" t="str">
        <x:v>A</x:v>
      </x:c>
      <x:c r="G7" s="44" t="str">
        <x:v>R</x:v>
      </x:c>
      <x:c r="H7" s="44" t="str">
        <x:v>C</x:v>
      </x:c>
      <x:c r="I7" s="44" t="str">
        <x:v>C</x:v>
      </x:c>
      <x:c r="J7" s="44" t="str">
        <x:v>C</x:v>
      </x:c>
      <x:c r="K7" s="44" t="str">
        <x:v>C</x:v>
      </x:c>
      <x:c r="L7" s="44" t="str">
        <x:v>C</x:v>
      </x:c>
      <x:c r="M7" s="44" t="str">
        <x:v>C</x:v>
      </x:c>
      <x:c r="N7" s="44" t="str">
        <x:v>C</x:v>
      </x:c>
      <x:c r="O7" s="44" t="str">
        <x:v>C</x:v>
      </x:c>
      <x:c r="P7" s="44" t="str">
        <x:v>C</x:v>
      </x:c>
      <x:c r="Q7" s="44" t="str">
        <x:v>I</x:v>
      </x:c>
      <x:c r="R7" s="44" t="str">
        <x:v>I</x:v>
      </x:c>
      <x:c r="S7" s="48" t="str">
        <x:v>CRCO owns policy and governance framework; specialists contribute domain requirements.</x:v>
      </x:c>
      <x:c r="T7" s="52" t="n">
        <x:f>COUNTIF(D7:R7,"A")+COUNTIF(D7:R7,"A/R")</x:f>
        <x:v>1</x:v>
      </x:c>
      <x:c r="U7" s="66" t="str">
        <x:f>IF(T7=1,"OK","REVIEW")</x:f>
        <x:v>OK</x:v>
      </x:c>
    </x:row>
    <x:row r="8">
      <x:c r="A8" s="65" t="str">
        <x:v>GOV-03</x:v>
      </x:c>
      <x:c r="B8" s="47" t="str">
        <x:v>Governance &amp; Strategy</x:v>
      </x:c>
      <x:c r="C8" s="48" t="str">
        <x:v>Maintain AI governance framework, methodology and control architecture</x:v>
      </x:c>
      <x:c r="D8" s="44" t="str">
        <x:v>I</x:v>
      </x:c>
      <x:c r="E8" s="44" t="str">
        <x:v>C</x:v>
      </x:c>
      <x:c r="F8" s="44" t="str">
        <x:v>A</x:v>
      </x:c>
      <x:c r="G8" s="44" t="str">
        <x:v>R</x:v>
      </x:c>
      <x:c r="H8" s="44" t="str">
        <x:v>C</x:v>
      </x:c>
      <x:c r="I8" s="44" t="str">
        <x:v>C</x:v>
      </x:c>
      <x:c r="J8" s="44" t="str">
        <x:v>C</x:v>
      </x:c>
      <x:c r="K8" s="44" t="str">
        <x:v>C</x:v>
      </x:c>
      <x:c r="L8" s="44" t="str">
        <x:v>C</x:v>
      </x:c>
      <x:c r="M8" s="44" t="str">
        <x:v>C</x:v>
      </x:c>
      <x:c r="N8" s="44" t="str">
        <x:v>C</x:v>
      </x:c>
      <x:c r="O8" s="44" t="str">
        <x:v>C</x:v>
      </x:c>
      <x:c r="P8" s="44" t="str">
        <x:v>C</x:v>
      </x:c>
      <x:c r="Q8" s="44" t="str">
        <x:v>I</x:v>
      </x:c>
      <x:c r="R8" s="44" t="str">
        <x:v>I</x:v>
      </x:c>
      <x:c r="S8" s="48" t="str">
        <x:v>Includes risk methodology, control library, lifecycle gates and evidence expectations.</x:v>
      </x:c>
      <x:c r="T8" s="52" t="n">
        <x:f>COUNTIF(D8:R8,"A")+COUNTIF(D8:R8,"A/R")</x:f>
        <x:v>1</x:v>
      </x:c>
      <x:c r="U8" s="66" t="str">
        <x:f>IF(T8=1,"OK","REVIEW")</x:f>
        <x:v>OK</x:v>
      </x:c>
    </x:row>
    <x:row r="9">
      <x:c r="A9" s="65" t="str">
        <x:v>GOV-04</x:v>
      </x:c>
      <x:c r="B9" s="47" t="str">
        <x:v>Governance &amp; Strategy</x:v>
      </x:c>
      <x:c r="C9" s="48" t="str">
        <x:v>Chair and operate the AI Governance Committee</x:v>
      </x:c>
      <x:c r="D9" s="44" t="str">
        <x:v>I</x:v>
      </x:c>
      <x:c r="E9" s="44" t="str">
        <x:v>C</x:v>
      </x:c>
      <x:c r="F9" s="44" t="str">
        <x:v>A</x:v>
      </x:c>
      <x:c r="G9" s="44" t="str">
        <x:v>R</x:v>
      </x:c>
      <x:c r="H9" s="44" t="str">
        <x:v>I</x:v>
      </x:c>
      <x:c r="I9" s="44" t="str">
        <x:v>I</x:v>
      </x:c>
      <x:c r="J9" s="44" t="str">
        <x:v>C</x:v>
      </x:c>
      <x:c r="K9" s="44" t="str">
        <x:v>C</x:v>
      </x:c>
      <x:c r="L9" s="44" t="str">
        <x:v>C</x:v>
      </x:c>
      <x:c r="M9" s="44" t="str">
        <x:v>C</x:v>
      </x:c>
      <x:c r="N9" s="44" t="str">
        <x:v>C</x:v>
      </x:c>
      <x:c r="O9" s="44" t="str">
        <x:v>C</x:v>
      </x:c>
      <x:c r="P9" s="44" t="str">
        <x:v>R</x:v>
      </x:c>
      <x:c r="Q9" s="44" t="str">
        <x:v>I</x:v>
      </x:c>
      <x:c r="R9" s="44" t="str">
        <x:v>I</x:v>
      </x:c>
      <x:c r="S9" s="48" t="str">
        <x:v>CRCO chairs; AI Governance Lead coordinates agenda, packs, records and actions.</x:v>
      </x:c>
      <x:c r="T9" s="52" t="n">
        <x:f>COUNTIF(D9:R9,"A")+COUNTIF(D9:R9,"A/R")</x:f>
        <x:v>1</x:v>
      </x:c>
      <x:c r="U9" s="66" t="str">
        <x:f>IF(T9=1,"OK","REVIEW")</x:f>
        <x:v>OK</x:v>
      </x:c>
    </x:row>
    <x:row r="10">
      <x:c r="A10" s="65" t="str">
        <x:v>GOV-05</x:v>
      </x:c>
      <x:c r="B10" s="47" t="str">
        <x:v>Governance &amp; Strategy</x:v>
      </x:c>
      <x:c r="C10" s="48" t="str">
        <x:v>Provide portfolio-level AI risk and governance reporting</x:v>
      </x:c>
      <x:c r="D10" s="44" t="str">
        <x:v>I</x:v>
      </x:c>
      <x:c r="E10" s="44" t="str">
        <x:v>I</x:v>
      </x:c>
      <x:c r="F10" s="44" t="str">
        <x:v>A</x:v>
      </x:c>
      <x:c r="G10" s="44" t="str">
        <x:v>R</x:v>
      </x:c>
      <x:c r="H10" s="44" t="str">
        <x:v>C</x:v>
      </x:c>
      <x:c r="I10" s="44" t="str">
        <x:v>C</x:v>
      </x:c>
      <x:c r="J10" s="44" t="str">
        <x:v>C</x:v>
      </x:c>
      <x:c r="K10" s="44" t="str">
        <x:v>C</x:v>
      </x:c>
      <x:c r="L10" s="44" t="str">
        <x:v>C</x:v>
      </x:c>
      <x:c r="M10" s="44" t="str">
        <x:v>C</x:v>
      </x:c>
      <x:c r="N10" s="44" t="str">
        <x:v>C</x:v>
      </x:c>
      <x:c r="O10" s="44" t="str">
        <x:v>I</x:v>
      </x:c>
      <x:c r="P10" s="44" t="str">
        <x:v>C</x:v>
      </x:c>
      <x:c r="Q10" s="44" t="str">
        <x:v>I</x:v>
      </x:c>
      <x:c r="R10" s="44" t="str">
        <x:v>I</x:v>
      </x:c>
      <x:c r="S10" s="48" t="str">
        <x:v>Executive reporting includes lifecycle, risk, blocked systems, incidents, remediation and upcoming reassessments.</x:v>
      </x:c>
      <x:c r="T10" s="52" t="n">
        <x:f>COUNTIF(D10:R10,"A")+COUNTIF(D10:R10,"A/R")</x:f>
        <x:v>1</x:v>
      </x:c>
      <x:c r="U10" s="66" t="str">
        <x:f>IF(T10=1,"OK","REVIEW")</x:f>
        <x:v>OK</x:v>
      </x:c>
    </x:row>
    <x:row r="11">
      <x:c r="A11" s="67" t="str">
        <x:v>INT-01</x:v>
      </x:c>
      <x:c r="B11" s="55" t="str">
        <x:v>Intake &amp; Inventory</x:v>
      </x:c>
      <x:c r="C11" s="56" t="str">
        <x:v>Identify and submit a new or materially changed AI use case</x:v>
      </x:c>
      <x:c r="D11" s="44" t="str">
        <x:v>I</x:v>
      </x:c>
      <x:c r="E11" s="44" t="str">
        <x:v>I</x:v>
      </x:c>
      <x:c r="F11" s="44" t="str">
        <x:v>C</x:v>
      </x:c>
      <x:c r="G11" s="44" t="str">
        <x:v>C</x:v>
      </x:c>
      <x:c r="H11" s="44" t="str">
        <x:v>A/R</x:v>
      </x:c>
      <x:c r="I11" s="44" t="str">
        <x:v>R</x:v>
      </x:c>
      <x:c r="J11" s="44" t="str">
        <x:v>C</x:v>
      </x:c>
      <x:c r="K11" s="44" t="str">
        <x:v>C</x:v>
      </x:c>
      <x:c r="L11" s="44" t="str">
        <x:v>C</x:v>
      </x:c>
      <x:c r="M11" s="44" t="str">
        <x:v>C</x:v>
      </x:c>
      <x:c r="N11" s="44" t="str">
        <x:v>C</x:v>
      </x:c>
      <x:c r="O11" s="44" t="str">
        <x:v>C</x:v>
      </x:c>
      <x:c r="P11" s="44" t="str">
        <x:v>I</x:v>
      </x:c>
      <x:c r="Q11" s="44" t="str">
        <x:v>I</x:v>
      </x:c>
      <x:c r="R11" s="44" t="str">
        <x:v>I</x:v>
      </x:c>
      <x:c r="S11" s="56" t="str">
        <x:v>Applies to internal builds, third-party AI, SaaS AI, APIs, pilots, experiments and material changes.</x:v>
      </x:c>
      <x:c r="T11" s="60" t="n">
        <x:f>COUNTIF(D11:R11,"A")+COUNTIF(D11:R11,"A/R")</x:f>
        <x:v>1</x:v>
      </x:c>
      <x:c r="U11" s="68" t="str">
        <x:f>IF(T11=1,"OK","REVIEW")</x:f>
        <x:v>OK</x:v>
      </x:c>
    </x:row>
    <x:row r="12">
      <x:c r="A12" s="67" t="str">
        <x:v>INT-02</x:v>
      </x:c>
      <x:c r="B12" s="55" t="str">
        <x:v>Intake &amp; Inventory</x:v>
      </x:c>
      <x:c r="C12" s="56" t="str">
        <x:v>Create or update the AI inventory record</x:v>
      </x:c>
      <x:c r="D12" s="44" t="str">
        <x:v>I</x:v>
      </x:c>
      <x:c r="E12" s="44" t="str">
        <x:v>I</x:v>
      </x:c>
      <x:c r="F12" s="44" t="str">
        <x:v>C</x:v>
      </x:c>
      <x:c r="G12" s="44" t="str">
        <x:v>A/R</x:v>
      </x:c>
      <x:c r="H12" s="44" t="str">
        <x:v>C</x:v>
      </x:c>
      <x:c r="I12" s="44" t="str">
        <x:v>C</x:v>
      </x:c>
      <x:c r="J12" s="44" t="str">
        <x:v>C</x:v>
      </x:c>
      <x:c r="K12" s="44" t="str">
        <x:v>C</x:v>
      </x:c>
      <x:c r="L12" s="44" t="str">
        <x:v>C</x:v>
      </x:c>
      <x:c r="M12" s="44" t="str">
        <x:v>C</x:v>
      </x:c>
      <x:c r="N12" s="44" t="str">
        <x:v>C</x:v>
      </x:c>
      <x:c r="O12" s="44" t="str">
        <x:v>C</x:v>
      </x:c>
      <x:c r="P12" s="44" t="str">
        <x:v>I</x:v>
      </x:c>
      <x:c r="Q12" s="44" t="str">
        <x:v>I</x:v>
      </x:c>
      <x:c r="R12" s="44" t="str">
        <x:v>I</x:v>
      </x:c>
      <x:c r="S12" s="56" t="str">
        <x:v>Inventory must capture intended purpose, owners, lifecycle, affected parties, data, third parties and governance status.</x:v>
      </x:c>
      <x:c r="T12" s="60" t="n">
        <x:f>COUNTIF(D12:R12,"A")+COUNTIF(D12:R12,"A/R")</x:f>
        <x:v>1</x:v>
      </x:c>
      <x:c r="U12" s="68" t="str">
        <x:f>IF(T12=1,"OK","REVIEW")</x:f>
        <x:v>OK</x:v>
      </x:c>
    </x:row>
    <x:row r="13">
      <x:c r="A13" s="67" t="str">
        <x:v>INT-03</x:v>
      </x:c>
      <x:c r="B13" s="55" t="str">
        <x:v>Intake &amp; Inventory</x:v>
      </x:c>
      <x:c r="C13" s="56" t="str">
        <x:v>Define intended purpose and AI decision/support boundary</x:v>
      </x:c>
      <x:c r="D13" s="44" t="str">
        <x:v>I</x:v>
      </x:c>
      <x:c r="E13" s="44" t="str">
        <x:v>C</x:v>
      </x:c>
      <x:c r="F13" s="44" t="str">
        <x:v>C</x:v>
      </x:c>
      <x:c r="G13" s="44" t="str">
        <x:v>C</x:v>
      </x:c>
      <x:c r="H13" s="44" t="str">
        <x:v>A/R</x:v>
      </x:c>
      <x:c r="I13" s="44" t="str">
        <x:v>C</x:v>
      </x:c>
      <x:c r="J13" s="44" t="str">
        <x:v>C</x:v>
      </x:c>
      <x:c r="K13" s="44" t="str">
        <x:v>C</x:v>
      </x:c>
      <x:c r="L13" s="44" t="str">
        <x:v>C</x:v>
      </x:c>
      <x:c r="M13" s="44" t="str">
        <x:v>C</x:v>
      </x:c>
      <x:c r="N13" s="44" t="str">
        <x:v>I</x:v>
      </x:c>
      <x:c r="O13" s="44" t="str">
        <x:v>C</x:v>
      </x:c>
      <x:c r="P13" s="44" t="str">
        <x:v>I</x:v>
      </x:c>
      <x:c r="Q13" s="44" t="str">
        <x:v>I</x:v>
      </x:c>
      <x:c r="R13" s="44" t="str">
        <x:v>I</x:v>
      </x:c>
      <x:c r="S13" s="56" t="str">
        <x:v>Intended purpose first; changes in purpose or autonomy trigger reassessment.</x:v>
      </x:c>
      <x:c r="T13" s="60" t="n">
        <x:f>COUNTIF(D13:R13,"A")+COUNTIF(D13:R13,"A/R")</x:f>
        <x:v>1</x:v>
      </x:c>
      <x:c r="U13" s="68" t="str">
        <x:f>IF(T13=1,"OK","REVIEW")</x:f>
        <x:v>OK</x:v>
      </x:c>
    </x:row>
    <x:row r="14">
      <x:c r="A14" s="67" t="str">
        <x:v>INT-04</x:v>
      </x:c>
      <x:c r="B14" s="55" t="str">
        <x:v>Intake &amp; Inventory</x:v>
      </x:c>
      <x:c r="C14" s="56" t="str">
        <x:v>Confirm business and technical ownership before assessment</x:v>
      </x:c>
      <x:c r="D14" s="44" t="str">
        <x:v>I</x:v>
      </x:c>
      <x:c r="E14" s="44" t="str">
        <x:v>C</x:v>
      </x:c>
      <x:c r="F14" s="44" t="str">
        <x:v>C</x:v>
      </x:c>
      <x:c r="G14" s="44" t="str">
        <x:v>A/R</x:v>
      </x:c>
      <x:c r="H14" s="44" t="str">
        <x:v>R</x:v>
      </x:c>
      <x:c r="I14" s="44" t="str">
        <x:v>R</x:v>
      </x:c>
      <x:c r="J14" s="44" t="str">
        <x:v>I</x:v>
      </x:c>
      <x:c r="K14" s="44" t="str">
        <x:v>I</x:v>
      </x:c>
      <x:c r="L14" s="44" t="str">
        <x:v>I</x:v>
      </x:c>
      <x:c r="M14" s="44" t="str">
        <x:v>I</x:v>
      </x:c>
      <x:c r="N14" s="44" t="str">
        <x:v>I</x:v>
      </x:c>
      <x:c r="O14" s="44" t="str">
        <x:v>I</x:v>
      </x:c>
      <x:c r="P14" s="44" t="str">
        <x:v>I</x:v>
      </x:c>
      <x:c r="Q14" s="44" t="str">
        <x:v>I</x:v>
      </x:c>
      <x:c r="R14" s="44" t="str">
        <x:v>I</x:v>
      </x:c>
      <x:c r="S14" s="56" t="str">
        <x:v>No material AI should proceed without accountable business and technical ownership.</x:v>
      </x:c>
      <x:c r="T14" s="60" t="n">
        <x:f>COUNTIF(D14:R14,"A")+COUNTIF(D14:R14,"A/R")</x:f>
        <x:v>1</x:v>
      </x:c>
      <x:c r="U14" s="68" t="str">
        <x:f>IF(T14=1,"OK","REVIEW")</x:f>
        <x:v>OK</x:v>
      </x:c>
    </x:row>
    <x:row r="15">
      <x:c r="A15" s="67" t="str">
        <x:v>INT-05</x:v>
      </x:c>
      <x:c r="B15" s="55" t="str">
        <x:v>Intake &amp; Inventory</x:v>
      </x:c>
      <x:c r="C15" s="56" t="str">
        <x:v>Perform preliminary legal and regulatory triage</x:v>
      </x:c>
      <x:c r="D15" s="44" t="str">
        <x:v>I</x:v>
      </x:c>
      <x:c r="E15" s="44" t="str">
        <x:v>I</x:v>
      </x:c>
      <x:c r="F15" s="44" t="str">
        <x:v>C</x:v>
      </x:c>
      <x:c r="G15" s="44" t="str">
        <x:v>R</x:v>
      </x:c>
      <x:c r="H15" s="44" t="str">
        <x:v>C</x:v>
      </x:c>
      <x:c r="I15" s="44" t="str">
        <x:v>C</x:v>
      </x:c>
      <x:c r="J15" s="44" t="str">
        <x:v>C</x:v>
      </x:c>
      <x:c r="K15" s="44" t="str">
        <x:v>A</x:v>
      </x:c>
      <x:c r="L15" s="44" t="str">
        <x:v>C</x:v>
      </x:c>
      <x:c r="M15" s="44" t="str">
        <x:v>C</x:v>
      </x:c>
      <x:c r="N15" s="44" t="str">
        <x:v>C</x:v>
      </x:c>
      <x:c r="O15" s="44" t="str">
        <x:v>C</x:v>
      </x:c>
      <x:c r="P15" s="44" t="str">
        <x:v>I</x:v>
      </x:c>
      <x:c r="Q15" s="44" t="str">
        <x:v>I</x:v>
      </x:c>
      <x:c r="R15" s="44" t="str">
        <x:v>I</x:v>
      </x:c>
      <x:c r="S15" s="56" t="str">
        <x:v>Screen legal role, prohibited practices, high-risk routes, transparency, privacy, employment, product and other relevant law.</x:v>
      </x:c>
      <x:c r="T15" s="60" t="n">
        <x:f>COUNTIF(D15:R15,"A")+COUNTIF(D15:R15,"A/R")</x:f>
        <x:v>1</x:v>
      </x:c>
      <x:c r="U15" s="68" t="str">
        <x:f>IF(T15=1,"OK","REVIEW")</x:f>
        <x:v>OK</x:v>
      </x:c>
    </x:row>
    <x:row r="16">
      <x:c r="A16" s="65" t="str">
        <x:v>ASM-01</x:v>
      </x:c>
      <x:c r="B16" s="47" t="str">
        <x:v>Assessment</x:v>
      </x:c>
      <x:c r="C16" s="48" t="str">
        <x:v>Perform AI impact assessment</x:v>
      </x:c>
      <x:c r="D16" s="44" t="str">
        <x:v>I</x:v>
      </x:c>
      <x:c r="E16" s="44" t="str">
        <x:v>I</x:v>
      </x:c>
      <x:c r="F16" s="44" t="str">
        <x:v>C</x:v>
      </x:c>
      <x:c r="G16" s="44" t="str">
        <x:v>R</x:v>
      </x:c>
      <x:c r="H16" s="44" t="str">
        <x:v>A</x:v>
      </x:c>
      <x:c r="I16" s="44" t="str">
        <x:v>C</x:v>
      </x:c>
      <x:c r="J16" s="44" t="str">
        <x:v>C</x:v>
      </x:c>
      <x:c r="K16" s="44" t="str">
        <x:v>C</x:v>
      </x:c>
      <x:c r="L16" s="44" t="str">
        <x:v>C</x:v>
      </x:c>
      <x:c r="M16" s="44" t="str">
        <x:v>C</x:v>
      </x:c>
      <x:c r="N16" s="44" t="str">
        <x:v>C</x:v>
      </x:c>
      <x:c r="O16" s="44" t="str">
        <x:v>C</x:v>
      </x:c>
      <x:c r="P16" s="44" t="str">
        <x:v>C</x:v>
      </x:c>
      <x:c r="Q16" s="44" t="str">
        <x:v>I</x:v>
      </x:c>
      <x:c r="R16" s="44" t="str">
        <x:v>I</x:v>
      </x:c>
      <x:c r="S16" s="48" t="str">
        <x:v>Identify affected parties, benefits, adverse impacts, safeguards, monitoring and current lifecycle decision.</x:v>
      </x:c>
      <x:c r="T16" s="52" t="n">
        <x:f>COUNTIF(D16:R16,"A")+COUNTIF(D16:R16,"A/R")</x:f>
        <x:v>1</x:v>
      </x:c>
      <x:c r="U16" s="66" t="str">
        <x:f>IF(T16=1,"OK","REVIEW")</x:f>
        <x:v>OK</x:v>
      </x:c>
    </x:row>
    <x:row r="17">
      <x:c r="A17" s="65" t="str">
        <x:v>ASM-02</x:v>
      </x:c>
      <x:c r="B17" s="47" t="str">
        <x:v>Assessment</x:v>
      </x:c>
      <x:c r="C17" s="48" t="str">
        <x:v>Perform AI risk assessment and residual-risk determination</x:v>
      </x:c>
      <x:c r="D17" s="44" t="str">
        <x:v>I</x:v>
      </x:c>
      <x:c r="E17" s="44" t="str">
        <x:v>I</x:v>
      </x:c>
      <x:c r="F17" s="44" t="str">
        <x:v>C</x:v>
      </x:c>
      <x:c r="G17" s="44" t="str">
        <x:v>R</x:v>
      </x:c>
      <x:c r="H17" s="44" t="str">
        <x:v>A</x:v>
      </x:c>
      <x:c r="I17" s="44" t="str">
        <x:v>C</x:v>
      </x:c>
      <x:c r="J17" s="44" t="str">
        <x:v>C</x:v>
      </x:c>
      <x:c r="K17" s="44" t="str">
        <x:v>C</x:v>
      </x:c>
      <x:c r="L17" s="44" t="str">
        <x:v>C</x:v>
      </x:c>
      <x:c r="M17" s="44" t="str">
        <x:v>C</x:v>
      </x:c>
      <x:c r="N17" s="44" t="str">
        <x:v>C</x:v>
      </x:c>
      <x:c r="O17" s="44" t="str">
        <x:v>C</x:v>
      </x:c>
      <x:c r="P17" s="44" t="str">
        <x:v>C</x:v>
      </x:c>
      <x:c r="Q17" s="44" t="str">
        <x:v>I</x:v>
      </x:c>
      <x:c r="R17" s="44" t="str">
        <x:v>I</x:v>
      </x:c>
      <x:c r="S17" s="48" t="str">
        <x:v>Scenario-based risk; implemented controls only receive credit; current and target residual risk remain separate.</x:v>
      </x:c>
      <x:c r="T17" s="52" t="n">
        <x:f>COUNTIF(D17:R17,"A")+COUNTIF(D17:R17,"A/R")</x:f>
        <x:v>1</x:v>
      </x:c>
      <x:c r="U17" s="66" t="str">
        <x:f>IF(T17=1,"OK","REVIEW")</x:f>
        <x:v>OK</x:v>
      </x:c>
    </x:row>
    <x:row r="18">
      <x:c r="A18" s="65" t="str">
        <x:v>ASM-03</x:v>
      </x:c>
      <x:c r="B18" s="47" t="str">
        <x:v>Assessment</x:v>
      </x:c>
      <x:c r="C18" s="48" t="str">
        <x:v>Perform AI security threat modelling and security review</x:v>
      </x:c>
      <x:c r="D18" s="44" t="str">
        <x:v>I</x:v>
      </x:c>
      <x:c r="E18" s="44" t="str">
        <x:v>C</x:v>
      </x:c>
      <x:c r="F18" s="44" t="str">
        <x:v>C</x:v>
      </x:c>
      <x:c r="G18" s="44" t="str">
        <x:v>C</x:v>
      </x:c>
      <x:c r="H18" s="44" t="str">
        <x:v>C</x:v>
      </x:c>
      <x:c r="I18" s="44" t="str">
        <x:v>R</x:v>
      </x:c>
      <x:c r="J18" s="44" t="str">
        <x:v>A</x:v>
      </x:c>
      <x:c r="K18" s="44" t="str">
        <x:v>C</x:v>
      </x:c>
      <x:c r="L18" s="44" t="str">
        <x:v>C</x:v>
      </x:c>
      <x:c r="M18" s="44" t="str">
        <x:v>I</x:v>
      </x:c>
      <x:c r="N18" s="44" t="str">
        <x:v>C</x:v>
      </x:c>
      <x:c r="O18" s="44" t="str">
        <x:v>C</x:v>
      </x:c>
      <x:c r="P18" s="44" t="str">
        <x:v>I</x:v>
      </x:c>
      <x:c r="Q18" s="44" t="str">
        <x:v>I</x:v>
      </x:c>
      <x:c r="R18" s="44" t="str">
        <x:v>I</x:v>
      </x:c>
      <x:c r="S18" s="48" t="str">
        <x:v>Includes prompt injection, data leakage, insecure integration, excessive permissions, adversarial abuse and supply-chain threats.</x:v>
      </x:c>
      <x:c r="T18" s="52" t="n">
        <x:f>COUNTIF(D18:R18,"A")+COUNTIF(D18:R18,"A/R")</x:f>
        <x:v>1</x:v>
      </x:c>
      <x:c r="U18" s="66" t="str">
        <x:f>IF(T18=1,"OK","REVIEW")</x:f>
        <x:v>OK</x:v>
      </x:c>
    </x:row>
    <x:row r="19">
      <x:c r="A19" s="65" t="str">
        <x:v>ASM-04</x:v>
      </x:c>
      <x:c r="B19" s="47" t="str">
        <x:v>Assessment</x:v>
      </x:c>
      <x:c r="C19" s="48" t="str">
        <x:v>Perform privacy review and determine need for formal DPIA workflow</x:v>
      </x:c>
      <x:c r="D19" s="44" t="str">
        <x:v>I</x:v>
      </x:c>
      <x:c r="E19" s="44" t="str">
        <x:v>I</x:v>
      </x:c>
      <x:c r="F19" s="44" t="str">
        <x:v>C</x:v>
      </x:c>
      <x:c r="G19" s="44" t="str">
        <x:v>R</x:v>
      </x:c>
      <x:c r="H19" s="44" t="str">
        <x:v>A</x:v>
      </x:c>
      <x:c r="I19" s="44" t="str">
        <x:v>C</x:v>
      </x:c>
      <x:c r="J19" s="44" t="str">
        <x:v>C</x:v>
      </x:c>
      <x:c r="K19" s="44" t="str">
        <x:v>C</x:v>
      </x:c>
      <x:c r="L19" s="44" t="str">
        <x:v>R</x:v>
      </x:c>
      <x:c r="M19" s="44" t="str">
        <x:v>C</x:v>
      </x:c>
      <x:c r="N19" s="44" t="str">
        <x:v>I</x:v>
      </x:c>
      <x:c r="O19" s="44" t="str">
        <x:v>I</x:v>
      </x:c>
      <x:c r="P19" s="44" t="str">
        <x:v>I</x:v>
      </x:c>
      <x:c r="Q19" s="44" t="str">
        <x:v>I</x:v>
      </x:c>
      <x:c r="R19" s="44" t="str">
        <x:v>I</x:v>
      </x:c>
      <x:c r="S19" s="48" t="str">
        <x:v>DPO provides independent privacy advice and DPIA guidance; business owner remains accountable for the processing/use case.</x:v>
      </x:c>
      <x:c r="T19" s="52" t="n">
        <x:f>COUNTIF(D19:R19,"A")+COUNTIF(D19:R19,"A/R")</x:f>
        <x:v>1</x:v>
      </x:c>
      <x:c r="U19" s="66" t="str">
        <x:f>IF(T19=1,"OK","REVIEW")</x:f>
        <x:v>OK</x:v>
      </x:c>
    </x:row>
    <x:row r="20">
      <x:c r="A20" s="65" t="str">
        <x:v>ASM-05</x:v>
      </x:c>
      <x:c r="B20" s="47" t="str">
        <x:v>Assessment</x:v>
      </x:c>
      <x:c r="C20" s="48" t="str">
        <x:v>Perform employment, fairness and workforce-impact review</x:v>
      </x:c>
      <x:c r="D20" s="44" t="str">
        <x:v>I</x:v>
      </x:c>
      <x:c r="E20" s="44" t="str">
        <x:v>I</x:v>
      </x:c>
      <x:c r="F20" s="44" t="str">
        <x:v>C</x:v>
      </x:c>
      <x:c r="G20" s="44" t="str">
        <x:v>C</x:v>
      </x:c>
      <x:c r="H20" s="44" t="str">
        <x:v>R</x:v>
      </x:c>
      <x:c r="I20" s="44" t="str">
        <x:v>C</x:v>
      </x:c>
      <x:c r="J20" s="44" t="str">
        <x:v>I</x:v>
      </x:c>
      <x:c r="K20" s="44" t="str">
        <x:v>C</x:v>
      </x:c>
      <x:c r="L20" s="44" t="str">
        <x:v>C</x:v>
      </x:c>
      <x:c r="M20" s="44" t="str">
        <x:v>A</x:v>
      </x:c>
      <x:c r="N20" s="44" t="str">
        <x:v>I</x:v>
      </x:c>
      <x:c r="O20" s="44" t="str">
        <x:v>I</x:v>
      </x:c>
      <x:c r="P20" s="44" t="str">
        <x:v>I</x:v>
      </x:c>
      <x:c r="Q20" s="44" t="str">
        <x:v>I</x:v>
      </x:c>
      <x:c r="R20" s="44" t="str">
        <x:v>I</x:v>
      </x:c>
      <x:c r="S20" s="48" t="str">
        <x:v>Enhanced review for recruitment/workforce AI such as DuckTalent; Legal and DPO consulted.</x:v>
      </x:c>
      <x:c r="T20" s="52" t="n">
        <x:f>COUNTIF(D20:R20,"A")+COUNTIF(D20:R20,"A/R")</x:f>
        <x:v>1</x:v>
      </x:c>
      <x:c r="U20" s="66" t="str">
        <x:f>IF(T20=1,"OK","REVIEW")</x:f>
        <x:v>OK</x:v>
      </x:c>
    </x:row>
    <x:row r="21">
      <x:c r="A21" s="65" t="str">
        <x:v>ASM-06</x:v>
      </x:c>
      <x:c r="B21" s="47" t="str">
        <x:v>Assessment</x:v>
      </x:c>
      <x:c r="C21" s="48" t="str">
        <x:v>Perform product safety and quality impact review</x:v>
      </x:c>
      <x:c r="D21" s="44" t="str">
        <x:v>I</x:v>
      </x:c>
      <x:c r="E21" s="44" t="str">
        <x:v>C</x:v>
      </x:c>
      <x:c r="F21" s="44" t="str">
        <x:v>C</x:v>
      </x:c>
      <x:c r="G21" s="44" t="str">
        <x:v>C</x:v>
      </x:c>
      <x:c r="H21" s="44" t="str">
        <x:v>R</x:v>
      </x:c>
      <x:c r="I21" s="44" t="str">
        <x:v>C</x:v>
      </x:c>
      <x:c r="J21" s="44" t="str">
        <x:v>C</x:v>
      </x:c>
      <x:c r="K21" s="44" t="str">
        <x:v>C</x:v>
      </x:c>
      <x:c r="L21" s="44" t="str">
        <x:v>I</x:v>
      </x:c>
      <x:c r="M21" s="44" t="str">
        <x:v>I</x:v>
      </x:c>
      <x:c r="N21" s="44" t="str">
        <x:v>I</x:v>
      </x:c>
      <x:c r="O21" s="44" t="str">
        <x:v>A</x:v>
      </x:c>
      <x:c r="P21" s="44" t="str">
        <x:v>I</x:v>
      </x:c>
      <x:c r="Q21" s="44" t="str">
        <x:v>I</x:v>
      </x:c>
      <x:c r="R21" s="44" t="str">
        <x:v>I</x:v>
      </x:c>
      <x:c r="S21" s="48" t="str">
        <x:v>Mandatory where AI could affect product quality, reliability, safety, engineering validation or manufacturing acceptance.</x:v>
      </x:c>
      <x:c r="T21" s="52" t="n">
        <x:f>COUNTIF(D21:R21,"A")+COUNTIF(D21:R21,"A/R")</x:f>
        <x:v>1</x:v>
      </x:c>
      <x:c r="U21" s="66" t="str">
        <x:f>IF(T21=1,"OK","REVIEW")</x:f>
        <x:v>OK</x:v>
      </x:c>
    </x:row>
    <x:row r="22">
      <x:c r="A22" s="65" t="str">
        <x:v>ASM-07</x:v>
      </x:c>
      <x:c r="B22" s="47" t="str">
        <x:v>Assessment</x:v>
      </x:c>
      <x:c r="C22" s="48" t="str">
        <x:v>Perform third-party AI due diligence</x:v>
      </x:c>
      <x:c r="D22" s="44" t="str">
        <x:v>I</x:v>
      </x:c>
      <x:c r="E22" s="44" t="str">
        <x:v>I</x:v>
      </x:c>
      <x:c r="F22" s="44" t="str">
        <x:v>C</x:v>
      </x:c>
      <x:c r="G22" s="44" t="str">
        <x:v>C</x:v>
      </x:c>
      <x:c r="H22" s="44" t="str">
        <x:v>R</x:v>
      </x:c>
      <x:c r="I22" s="44" t="str">
        <x:v>C</x:v>
      </x:c>
      <x:c r="J22" s="44" t="str">
        <x:v>C</x:v>
      </x:c>
      <x:c r="K22" s="44" t="str">
        <x:v>C</x:v>
      </x:c>
      <x:c r="L22" s="44" t="str">
        <x:v>C</x:v>
      </x:c>
      <x:c r="M22" s="44" t="str">
        <x:v>I</x:v>
      </x:c>
      <x:c r="N22" s="44" t="str">
        <x:v>A</x:v>
      </x:c>
      <x:c r="O22" s="44" t="str">
        <x:v>C</x:v>
      </x:c>
      <x:c r="P22" s="44" t="str">
        <x:v>I</x:v>
      </x:c>
      <x:c r="Q22" s="44" t="str">
        <x:v>I</x:v>
      </x:c>
      <x:c r="R22" s="44" t="str">
        <x:v>I</x:v>
      </x:c>
      <x:c r="S22" s="48" t="str">
        <x:v>Covers security, privacy, data use, training, subprocessors, change notification, IP, resilience and exit.</x:v>
      </x:c>
      <x:c r="T22" s="52" t="n">
        <x:f>COUNTIF(D22:R22,"A")+COUNTIF(D22:R22,"A/R")</x:f>
        <x:v>1</x:v>
      </x:c>
      <x:c r="U22" s="66" t="str">
        <x:f>IF(T22=1,"OK","REVIEW")</x:f>
        <x:v>OK</x:v>
      </x:c>
    </x:row>
    <x:row r="23">
      <x:c r="A23" s="67" t="str">
        <x:v>DEV-01</x:v>
      </x:c>
      <x:c r="B23" s="55" t="str">
        <x:v>Development / Acquisition</x:v>
      </x:c>
      <x:c r="C23" s="56" t="str">
        <x:v>Define AI technical architecture, model/service implementation and integration design</x:v>
      </x:c>
      <x:c r="D23" s="44" t="str">
        <x:v>I</x:v>
      </x:c>
      <x:c r="E23" s="44" t="str">
        <x:v>C</x:v>
      </x:c>
      <x:c r="F23" s="44" t="str">
        <x:v>I</x:v>
      </x:c>
      <x:c r="G23" s="44" t="str">
        <x:v>C</x:v>
      </x:c>
      <x:c r="H23" s="44" t="str">
        <x:v>C</x:v>
      </x:c>
      <x:c r="I23" s="44" t="str">
        <x:v>A/R</x:v>
      </x:c>
      <x:c r="J23" s="44" t="str">
        <x:v>C</x:v>
      </x:c>
      <x:c r="K23" s="44" t="str">
        <x:v>C</x:v>
      </x:c>
      <x:c r="L23" s="44" t="str">
        <x:v>C</x:v>
      </x:c>
      <x:c r="M23" s="44" t="str">
        <x:v>I</x:v>
      </x:c>
      <x:c r="N23" s="44" t="str">
        <x:v>C</x:v>
      </x:c>
      <x:c r="O23" s="44" t="str">
        <x:v>C</x:v>
      </x:c>
      <x:c r="P23" s="44" t="str">
        <x:v>I</x:v>
      </x:c>
      <x:c r="Q23" s="44" t="str">
        <x:v>I</x:v>
      </x:c>
      <x:c r="R23" s="44" t="str">
        <x:v>I</x:v>
      </x:c>
      <x:c r="S23" s="56" t="str">
        <x:v>Technical Owner owns implementation architecture; specialist challenge applies where relevant.</x:v>
      </x:c>
      <x:c r="T23" s="60" t="n">
        <x:f>COUNTIF(D23:R23,"A")+COUNTIF(D23:R23,"A/R")</x:f>
        <x:v>1</x:v>
      </x:c>
      <x:c r="U23" s="68" t="str">
        <x:f>IF(T23=1,"OK","REVIEW")</x:f>
        <x:v>OK</x:v>
      </x:c>
    </x:row>
    <x:row r="24">
      <x:c r="A24" s="67" t="str">
        <x:v>DEV-02</x:v>
      </x:c>
      <x:c r="B24" s="55" t="str">
        <x:v>Development / Acquisition</x:v>
      </x:c>
      <x:c r="C24" s="56" t="str">
        <x:v>Define data access, permissions, confidentiality and repository boundaries</x:v>
      </x:c>
      <x:c r="D24" s="44" t="str">
        <x:v>I</x:v>
      </x:c>
      <x:c r="E24" s="44" t="str">
        <x:v>C</x:v>
      </x:c>
      <x:c r="F24" s="44" t="str">
        <x:v>C</x:v>
      </x:c>
      <x:c r="G24" s="44" t="str">
        <x:v>C</x:v>
      </x:c>
      <x:c r="H24" s="44" t="str">
        <x:v>A</x:v>
      </x:c>
      <x:c r="I24" s="44" t="str">
        <x:v>R</x:v>
      </x:c>
      <x:c r="J24" s="44" t="str">
        <x:v>C</x:v>
      </x:c>
      <x:c r="K24" s="44" t="str">
        <x:v>C</x:v>
      </x:c>
      <x:c r="L24" s="44" t="str">
        <x:v>R</x:v>
      </x:c>
      <x:c r="M24" s="44" t="str">
        <x:v>I</x:v>
      </x:c>
      <x:c r="N24" s="44" t="str">
        <x:v>I</x:v>
      </x:c>
      <x:c r="O24" s="44" t="str">
        <x:v>I</x:v>
      </x:c>
      <x:c r="P24" s="44" t="str">
        <x:v>I</x:v>
      </x:c>
      <x:c r="Q24" s="44" t="str">
        <x:v>I</x:v>
      </x:c>
      <x:c r="R24" s="44" t="str">
        <x:v>I</x:v>
      </x:c>
      <x:c r="S24" s="56" t="str">
        <x:v>Especially important for PondGPT and systems processing confidential IP or personal data.</x:v>
      </x:c>
      <x:c r="T24" s="60" t="n">
        <x:f>COUNTIF(D24:R24,"A")+COUNTIF(D24:R24,"A/R")</x:f>
        <x:v>1</x:v>
      </x:c>
      <x:c r="U24" s="68" t="str">
        <x:f>IF(T24=1,"OK","REVIEW")</x:f>
        <x:v>OK</x:v>
      </x:c>
    </x:row>
    <x:row r="25">
      <x:c r="A25" s="67" t="str">
        <x:v>DEV-03</x:v>
      </x:c>
      <x:c r="B25" s="55" t="str">
        <x:v>Development / Acquisition</x:v>
      </x:c>
      <x:c r="C25" s="56" t="str">
        <x:v>Define AI security controls and security acceptance criteria</x:v>
      </x:c>
      <x:c r="D25" s="44" t="str">
        <x:v>I</x:v>
      </x:c>
      <x:c r="E25" s="44" t="str">
        <x:v>C</x:v>
      </x:c>
      <x:c r="F25" s="44" t="str">
        <x:v>C</x:v>
      </x:c>
      <x:c r="G25" s="44" t="str">
        <x:v>C</x:v>
      </x:c>
      <x:c r="H25" s="44" t="str">
        <x:v>C</x:v>
      </x:c>
      <x:c r="I25" s="44" t="str">
        <x:v>R</x:v>
      </x:c>
      <x:c r="J25" s="44" t="str">
        <x:v>A</x:v>
      </x:c>
      <x:c r="K25" s="44" t="str">
        <x:v>C</x:v>
      </x:c>
      <x:c r="L25" s="44" t="str">
        <x:v>C</x:v>
      </x:c>
      <x:c r="M25" s="44" t="str">
        <x:v>I</x:v>
      </x:c>
      <x:c r="N25" s="44" t="str">
        <x:v>C</x:v>
      </x:c>
      <x:c r="O25" s="44" t="str">
        <x:v>C</x:v>
      </x:c>
      <x:c r="P25" s="44" t="str">
        <x:v>I</x:v>
      </x:c>
      <x:c r="Q25" s="44" t="str">
        <x:v>I</x:v>
      </x:c>
      <x:c r="R25" s="44" t="str">
        <x:v>I</x:v>
      </x:c>
      <x:c r="S25" s="56" t="str">
        <x:v>Includes access control, logging, secure integration, prompt/RAG controls, testing and incident readiness.</x:v>
      </x:c>
      <x:c r="T25" s="60" t="n">
        <x:f>COUNTIF(D25:R25,"A")+COUNTIF(D25:R25,"A/R")</x:f>
        <x:v>1</x:v>
      </x:c>
      <x:c r="U25" s="68" t="str">
        <x:f>IF(T25=1,"OK","REVIEW")</x:f>
        <x:v>OK</x:v>
      </x:c>
    </x:row>
    <x:row r="26">
      <x:c r="A26" s="67" t="str">
        <x:v>DEV-04</x:v>
      </x:c>
      <x:c r="B26" s="55" t="str">
        <x:v>Development / Acquisition</x:v>
      </x:c>
      <x:c r="C26" s="56" t="str">
        <x:v>Define and test human oversight, override, escalation and stop authority</x:v>
      </x:c>
      <x:c r="D26" s="44" t="str">
        <x:v>I</x:v>
      </x:c>
      <x:c r="E26" s="44" t="str">
        <x:v>C</x:v>
      </x:c>
      <x:c r="F26" s="44" t="str">
        <x:v>C</x:v>
      </x:c>
      <x:c r="G26" s="44" t="str">
        <x:v>R</x:v>
      </x:c>
      <x:c r="H26" s="44" t="str">
        <x:v>A</x:v>
      </x:c>
      <x:c r="I26" s="44" t="str">
        <x:v>C</x:v>
      </x:c>
      <x:c r="J26" s="44" t="str">
        <x:v>C</x:v>
      </x:c>
      <x:c r="K26" s="44" t="str">
        <x:v>C</x:v>
      </x:c>
      <x:c r="L26" s="44" t="str">
        <x:v>C</x:v>
      </x:c>
      <x:c r="M26" s="44" t="str">
        <x:v>C</x:v>
      </x:c>
      <x:c r="N26" s="44" t="str">
        <x:v>I</x:v>
      </x:c>
      <x:c r="O26" s="44" t="str">
        <x:v>C</x:v>
      </x:c>
      <x:c r="P26" s="44" t="str">
        <x:v>C</x:v>
      </x:c>
      <x:c r="Q26" s="44" t="str">
        <x:v>I</x:v>
      </x:c>
      <x:c r="R26" s="44" t="str">
        <x:v>I</x:v>
      </x:c>
      <x:c r="S26" s="56" t="str">
        <x:v>Required particularly for employment, engineering, manufacturing quality, customer support and material operational decisions.</x:v>
      </x:c>
      <x:c r="T26" s="60" t="n">
        <x:f>COUNTIF(D26:R26,"A")+COUNTIF(D26:R26,"A/R")</x:f>
        <x:v>1</x:v>
      </x:c>
      <x:c r="U26" s="68" t="str">
        <x:f>IF(T26=1,"OK","REVIEW")</x:f>
        <x:v>OK</x:v>
      </x:c>
    </x:row>
    <x:row r="27">
      <x:c r="A27" s="67" t="str">
        <x:v>DEV-05</x:v>
      </x:c>
      <x:c r="B27" s="55" t="str">
        <x:v>Development / Acquisition</x:v>
      </x:c>
      <x:c r="C27" s="56" t="str">
        <x:v>Perform model/service validation and performance testing</x:v>
      </x:c>
      <x:c r="D27" s="44" t="str">
        <x:v>I</x:v>
      </x:c>
      <x:c r="E27" s="44" t="str">
        <x:v>C</x:v>
      </x:c>
      <x:c r="F27" s="44" t="str">
        <x:v>I</x:v>
      </x:c>
      <x:c r="G27" s="44" t="str">
        <x:v>C</x:v>
      </x:c>
      <x:c r="H27" s="44" t="str">
        <x:v>C</x:v>
      </x:c>
      <x:c r="I27" s="44" t="str">
        <x:v>A/R</x:v>
      </x:c>
      <x:c r="J27" s="44" t="str">
        <x:v>C</x:v>
      </x:c>
      <x:c r="K27" s="44" t="str">
        <x:v>I</x:v>
      </x:c>
      <x:c r="L27" s="44" t="str">
        <x:v>I</x:v>
      </x:c>
      <x:c r="M27" s="44" t="str">
        <x:v>C</x:v>
      </x:c>
      <x:c r="N27" s="44" t="str">
        <x:v>I</x:v>
      </x:c>
      <x:c r="O27" s="44" t="str">
        <x:v>C</x:v>
      </x:c>
      <x:c r="P27" s="44" t="str">
        <x:v>I</x:v>
      </x:c>
      <x:c r="Q27" s="44" t="str">
        <x:v>I</x:v>
      </x:c>
      <x:c r="R27" s="44" t="str">
        <x:v>I</x:v>
      </x:c>
      <x:c r="S27" s="56" t="str">
        <x:v>Testing intensity varies by risk; may include accuracy, drift baseline, false negatives, robustness and domain validation.</x:v>
      </x:c>
      <x:c r="T27" s="60" t="n">
        <x:f>COUNTIF(D27:R27,"A")+COUNTIF(D27:R27,"A/R")</x:f>
        <x:v>1</x:v>
      </x:c>
      <x:c r="U27" s="68" t="str">
        <x:f>IF(T27=1,"OK","REVIEW")</x:f>
        <x:v>OK</x:v>
      </x:c>
    </x:row>
    <x:row r="28">
      <x:c r="A28" s="67" t="str">
        <x:v>DEV-06</x:v>
      </x:c>
      <x:c r="B28" s="55" t="str">
        <x:v>Development / Acquisition</x:v>
      </x:c>
      <x:c r="C28" s="56" t="str">
        <x:v>Negotiate AI-specific contractual protections and supplier obligations</x:v>
      </x:c>
      <x:c r="D28" s="44" t="str">
        <x:v>I</x:v>
      </x:c>
      <x:c r="E28" s="44" t="str">
        <x:v>I</x:v>
      </x:c>
      <x:c r="F28" s="44" t="str">
        <x:v>C</x:v>
      </x:c>
      <x:c r="G28" s="44" t="str">
        <x:v>C</x:v>
      </x:c>
      <x:c r="H28" s="44" t="str">
        <x:v>C</x:v>
      </x:c>
      <x:c r="I28" s="44" t="str">
        <x:v>C</x:v>
      </x:c>
      <x:c r="J28" s="44" t="str">
        <x:v>C</x:v>
      </x:c>
      <x:c r="K28" s="44" t="str">
        <x:v>R</x:v>
      </x:c>
      <x:c r="L28" s="44" t="str">
        <x:v>C</x:v>
      </x:c>
      <x:c r="M28" s="44" t="str">
        <x:v>I</x:v>
      </x:c>
      <x:c r="N28" s="44" t="str">
        <x:v>A</x:v>
      </x:c>
      <x:c r="O28" s="44" t="str">
        <x:v>C</x:v>
      </x:c>
      <x:c r="P28" s="44" t="str">
        <x:v>I</x:v>
      </x:c>
      <x:c r="Q28" s="44" t="str">
        <x:v>I</x:v>
      </x:c>
      <x:c r="R28" s="44" t="str">
        <x:v>I</x:v>
      </x:c>
      <x:c r="S28" s="56" t="str">
        <x:v>Procurement owns supplier governance; Legal leads contractual terms with Security/Privacy input.</x:v>
      </x:c>
      <x:c r="T28" s="60" t="n">
        <x:f>COUNTIF(D28:R28,"A")+COUNTIF(D28:R28,"A/R")</x:f>
        <x:v>1</x:v>
      </x:c>
      <x:c r="U28" s="68" t="str">
        <x:f>IF(T28=1,"OK","REVIEW")</x:f>
        <x:v>OK</x:v>
      </x:c>
    </x:row>
    <x:row r="29">
      <x:c r="A29" s="67" t="str">
        <x:v>DEV-07</x:v>
      </x:c>
      <x:c r="B29" s="55" t="str">
        <x:v>Development / Acquisition</x:v>
      </x:c>
      <x:c r="C29" s="56" t="str">
        <x:v>Establish required governance evidence before release</x:v>
      </x:c>
      <x:c r="D29" s="44" t="str">
        <x:v>I</x:v>
      </x:c>
      <x:c r="E29" s="44" t="str">
        <x:v>I</x:v>
      </x:c>
      <x:c r="F29" s="44" t="str">
        <x:v>C</x:v>
      </x:c>
      <x:c r="G29" s="44" t="str">
        <x:v>R</x:v>
      </x:c>
      <x:c r="H29" s="44" t="str">
        <x:v>A</x:v>
      </x:c>
      <x:c r="I29" s="44" t="str">
        <x:v>R</x:v>
      </x:c>
      <x:c r="J29" s="44" t="str">
        <x:v>C</x:v>
      </x:c>
      <x:c r="K29" s="44" t="str">
        <x:v>C</x:v>
      </x:c>
      <x:c r="L29" s="44" t="str">
        <x:v>C</x:v>
      </x:c>
      <x:c r="M29" s="44" t="str">
        <x:v>C</x:v>
      </x:c>
      <x:c r="N29" s="44" t="str">
        <x:v>C</x:v>
      </x:c>
      <x:c r="O29" s="44" t="str">
        <x:v>C</x:v>
      </x:c>
      <x:c r="P29" s="44" t="str">
        <x:v>I</x:v>
      </x:c>
      <x:c r="Q29" s="44" t="str">
        <x:v>I</x:v>
      </x:c>
      <x:c r="R29" s="44" t="str">
        <x:v>I</x:v>
      </x:c>
      <x:c r="S29" s="56" t="str">
        <x:v>Evidence may include assessments, approvals, validation, security review, vendor review, oversight procedures and monitoring design.</x:v>
      </x:c>
      <x:c r="T29" s="60" t="n">
        <x:f>COUNTIF(D29:R29,"A")+COUNTIF(D29:R29,"A/R")</x:f>
        <x:v>1</x:v>
      </x:c>
      <x:c r="U29" s="68" t="str">
        <x:f>IF(T29=1,"OK","REVIEW")</x:f>
        <x:v>OK</x:v>
      </x:c>
    </x:row>
    <x:row r="30">
      <x:c r="A30" s="65" t="str">
        <x:v>APR-01</x:v>
      </x:c>
      <x:c r="B30" s="47" t="str">
        <x:v>Approval &amp; Release</x:v>
      </x:c>
      <x:c r="C30" s="48" t="str">
        <x:v>Approve Low residual-risk AI for use within defined scope</x:v>
      </x:c>
      <x:c r="D30" s="44" t="str">
        <x:v>I</x:v>
      </x:c>
      <x:c r="E30" s="44" t="str">
        <x:v>I</x:v>
      </x:c>
      <x:c r="F30" s="44" t="str">
        <x:v>I</x:v>
      </x:c>
      <x:c r="G30" s="44" t="str">
        <x:v>I</x:v>
      </x:c>
      <x:c r="H30" s="44" t="str">
        <x:v>A/R</x:v>
      </x:c>
      <x:c r="I30" s="44" t="str">
        <x:v>C</x:v>
      </x:c>
      <x:c r="J30" s="44" t="str">
        <x:v>I</x:v>
      </x:c>
      <x:c r="K30" s="44" t="str">
        <x:v>I</x:v>
      </x:c>
      <x:c r="L30" s="44" t="str">
        <x:v>I</x:v>
      </x:c>
      <x:c r="M30" s="44" t="str">
        <x:v>I</x:v>
      </x:c>
      <x:c r="N30" s="44" t="str">
        <x:v>I</x:v>
      </x:c>
      <x:c r="O30" s="44" t="str">
        <x:v>I</x:v>
      </x:c>
      <x:c r="P30" s="44" t="str">
        <x:v>I</x:v>
      </x:c>
      <x:c r="Q30" s="44" t="str">
        <x:v>I</x:v>
      </x:c>
      <x:c r="R30" s="44" t="str">
        <x:v>I</x:v>
      </x:c>
      <x:c r="S30" s="48" t="str">
        <x:v>Owner acceptance with routine controls and at least annual review.</x:v>
      </x:c>
      <x:c r="T30" s="52" t="n">
        <x:f>COUNTIF(D30:R30,"A")+COUNTIF(D30:R30,"A/R")</x:f>
        <x:v>1</x:v>
      </x:c>
      <x:c r="U30" s="66" t="str">
        <x:f>IF(T30=1,"OK","REVIEW")</x:f>
        <x:v>OK</x:v>
      </x:c>
    </x:row>
    <x:row r="31">
      <x:c r="A31" s="65" t="str">
        <x:v>APR-02</x:v>
      </x:c>
      <x:c r="B31" s="47" t="str">
        <x:v>Approval &amp; Release</x:v>
      </x:c>
      <x:c r="C31" s="48" t="str">
        <x:v>Approve Moderate residual-risk AI for use within defined scope</x:v>
      </x:c>
      <x:c r="D31" s="44" t="str">
        <x:v>I</x:v>
      </x:c>
      <x:c r="E31" s="44" t="str">
        <x:v>I</x:v>
      </x:c>
      <x:c r="F31" s="44" t="str">
        <x:v>C</x:v>
      </x:c>
      <x:c r="G31" s="44" t="str">
        <x:v>R</x:v>
      </x:c>
      <x:c r="H31" s="44" t="str">
        <x:v>A</x:v>
      </x:c>
      <x:c r="I31" s="44" t="str">
        <x:v>C</x:v>
      </x:c>
      <x:c r="J31" s="44" t="str">
        <x:v>C</x:v>
      </x:c>
      <x:c r="K31" s="44" t="str">
        <x:v>C</x:v>
      </x:c>
      <x:c r="L31" s="44" t="str">
        <x:v>C</x:v>
      </x:c>
      <x:c r="M31" s="44" t="str">
        <x:v>C</x:v>
      </x:c>
      <x:c r="N31" s="44" t="str">
        <x:v>C</x:v>
      </x:c>
      <x:c r="O31" s="44" t="str">
        <x:v>C</x:v>
      </x:c>
      <x:c r="P31" s="44" t="str">
        <x:v>I</x:v>
      </x:c>
      <x:c r="Q31" s="44" t="str">
        <x:v>I</x:v>
      </x:c>
      <x:c r="R31" s="44" t="str">
        <x:v>I</x:v>
      </x:c>
      <x:c r="S31" s="48" t="str">
        <x:v>Owner plus AI Governance review; documented controls and monitoring required.</x:v>
      </x:c>
      <x:c r="T31" s="52" t="n">
        <x:f>COUNTIF(D31:R31,"A")+COUNTIF(D31:R31,"A/R")</x:f>
        <x:v>1</x:v>
      </x:c>
      <x:c r="U31" s="66" t="str">
        <x:f>IF(T31=1,"OK","REVIEW")</x:f>
        <x:v>OK</x:v>
      </x:c>
    </x:row>
    <x:row r="32">
      <x:c r="A32" s="65" t="str">
        <x:v>APR-03</x:v>
      </x:c>
      <x:c r="B32" s="47" t="str">
        <x:v>Approval &amp; Release</x:v>
      </x:c>
      <x:c r="C32" s="48" t="str">
        <x:v>Approve High residual-risk treatment and production gate</x:v>
      </x:c>
      <x:c r="D32" s="44" t="str">
        <x:v>I</x:v>
      </x:c>
      <x:c r="E32" s="44" t="str">
        <x:v>C</x:v>
      </x:c>
      <x:c r="F32" s="44" t="str">
        <x:v>R</x:v>
      </x:c>
      <x:c r="G32" s="44" t="str">
        <x:v>R</x:v>
      </x:c>
      <x:c r="H32" s="44" t="str">
        <x:v>R</x:v>
      </x:c>
      <x:c r="I32" s="44" t="str">
        <x:v>C</x:v>
      </x:c>
      <x:c r="J32" s="44" t="str">
        <x:v>C</x:v>
      </x:c>
      <x:c r="K32" s="44" t="str">
        <x:v>C</x:v>
      </x:c>
      <x:c r="L32" s="44" t="str">
        <x:v>C</x:v>
      </x:c>
      <x:c r="M32" s="44" t="str">
        <x:v>C</x:v>
      </x:c>
      <x:c r="N32" s="44" t="str">
        <x:v>C</x:v>
      </x:c>
      <x:c r="O32" s="44" t="str">
        <x:v>C</x:v>
      </x:c>
      <x:c r="P32" s="44" t="str">
        <x:v>A</x:v>
      </x:c>
      <x:c r="Q32" s="44" t="str">
        <x:v>I</x:v>
      </x:c>
      <x:c r="R32" s="44" t="str">
        <x:v>I</x:v>
      </x:c>
      <x:c r="S32" s="48" t="str">
        <x:v>AI Governance Committee approval/treatment; enhanced evidence and pre-production gate.</x:v>
      </x:c>
      <x:c r="T32" s="52" t="n">
        <x:f>COUNTIF(D32:R32,"A")+COUNTIF(D32:R32,"A/R")</x:f>
        <x:v>1</x:v>
      </x:c>
      <x:c r="U32" s="66" t="str">
        <x:f>IF(T32=1,"OK","REVIEW")</x:f>
        <x:v>OK</x:v>
      </x:c>
    </x:row>
    <x:row r="33">
      <x:c r="A33" s="65" t="str">
        <x:v>APR-04</x:v>
      </x:c>
      <x:c r="B33" s="47" t="str">
        <x:v>Approval &amp; Release</x:v>
      </x:c>
      <x:c r="C33" s="48" t="str">
        <x:v>Approve exceptional Critical residual-risk acceptance</x:v>
      </x:c>
      <x:c r="D33" s="44" t="str">
        <x:v>A</x:v>
      </x:c>
      <x:c r="E33" s="44" t="str">
        <x:v>C</x:v>
      </x:c>
      <x:c r="F33" s="44" t="str">
        <x:v>R</x:v>
      </x:c>
      <x:c r="G33" s="44" t="str">
        <x:v>R</x:v>
      </x:c>
      <x:c r="H33" s="44" t="str">
        <x:v>R</x:v>
      </x:c>
      <x:c r="I33" s="44" t="str">
        <x:v>C</x:v>
      </x:c>
      <x:c r="J33" s="44" t="str">
        <x:v>C</x:v>
      </x:c>
      <x:c r="K33" s="44" t="str">
        <x:v>C</x:v>
      </x:c>
      <x:c r="L33" s="44" t="str">
        <x:v>C</x:v>
      </x:c>
      <x:c r="M33" s="44" t="str">
        <x:v>C</x:v>
      </x:c>
      <x:c r="N33" s="44" t="str">
        <x:v>I</x:v>
      </x:c>
      <x:c r="O33" s="44" t="str">
        <x:v>C</x:v>
      </x:c>
      <x:c r="P33" s="44" t="str">
        <x:v>C</x:v>
      </x:c>
      <x:c r="Q33" s="44" t="str">
        <x:v>I</x:v>
      </x:c>
      <x:c r="R33" s="44" t="str">
        <x:v>C</x:v>
      </x:c>
      <x:c r="S33" s="48" t="str">
        <x:v>Production normally blocked. Exceptional acceptance requires executive escalation with Legal, Risk and Security challenge.</x:v>
      </x:c>
      <x:c r="T33" s="52" t="n">
        <x:f>COUNTIF(D33:R33,"A")+COUNTIF(D33:R33,"A/R")</x:f>
        <x:v>1</x:v>
      </x:c>
      <x:c r="U33" s="66" t="str">
        <x:f>IF(T33=1,"OK","REVIEW")</x:f>
        <x:v>OK</x:v>
      </x:c>
    </x:row>
    <x:row r="34">
      <x:c r="A34" s="65" t="str">
        <x:v>APR-05</x:v>
      </x:c>
      <x:c r="B34" s="47" t="str">
        <x:v>Approval &amp; Release</x:v>
      </x:c>
      <x:c r="C34" s="48" t="str">
        <x:v>Authorize production release after governance conditions are satisfied</x:v>
      </x:c>
      <x:c r="D34" s="44" t="str">
        <x:v>I</x:v>
      </x:c>
      <x:c r="E34" s="44" t="str">
        <x:v>C</x:v>
      </x:c>
      <x:c r="F34" s="44" t="str">
        <x:v>C</x:v>
      </x:c>
      <x:c r="G34" s="44" t="str">
        <x:v>C</x:v>
      </x:c>
      <x:c r="H34" s="44" t="str">
        <x:v>A</x:v>
      </x:c>
      <x:c r="I34" s="44" t="str">
        <x:v>R</x:v>
      </x:c>
      <x:c r="J34" s="44" t="str">
        <x:v>C</x:v>
      </x:c>
      <x:c r="K34" s="44" t="str">
        <x:v>C</x:v>
      </x:c>
      <x:c r="L34" s="44" t="str">
        <x:v>C</x:v>
      </x:c>
      <x:c r="M34" s="44" t="str">
        <x:v>C</x:v>
      </x:c>
      <x:c r="N34" s="44" t="str">
        <x:v>C</x:v>
      </x:c>
      <x:c r="O34" s="44" t="str">
        <x:v>C</x:v>
      </x:c>
      <x:c r="P34" s="44" t="str">
        <x:v>C</x:v>
      </x:c>
      <x:c r="Q34" s="44" t="str">
        <x:v>I</x:v>
      </x:c>
      <x:c r="R34" s="44" t="str">
        <x:v>I</x:v>
      </x:c>
      <x:c r="S34" s="48" t="str">
        <x:v>Business owner authorizes operational use only within the approved intended purpose and release conditions.</x:v>
      </x:c>
      <x:c r="T34" s="52" t="n">
        <x:f>COUNTIF(D34:R34,"A")+COUNTIF(D34:R34,"A/R")</x:f>
        <x:v>1</x:v>
      </x:c>
      <x:c r="U34" s="66" t="str">
        <x:f>IF(T34=1,"OK","REVIEW")</x:f>
        <x:v>OK</x:v>
      </x:c>
    </x:row>
    <x:row r="35">
      <x:c r="A35" s="67" t="str">
        <x:v>OPS-01</x:v>
      </x:c>
      <x:c r="B35" s="55" t="str">
        <x:v>Operate &amp; Monitor</x:v>
      </x:c>
      <x:c r="C35" s="56" t="str">
        <x:v>Define monitoring KPIs, KRIs, thresholds and review cadence</x:v>
      </x:c>
      <x:c r="D35" s="44" t="str">
        <x:v>I</x:v>
      </x:c>
      <x:c r="E35" s="44" t="str">
        <x:v>I</x:v>
      </x:c>
      <x:c r="F35" s="44" t="str">
        <x:v>C</x:v>
      </x:c>
      <x:c r="G35" s="44" t="str">
        <x:v>R</x:v>
      </x:c>
      <x:c r="H35" s="44" t="str">
        <x:v>A</x:v>
      </x:c>
      <x:c r="I35" s="44" t="str">
        <x:v>R</x:v>
      </x:c>
      <x:c r="J35" s="44" t="str">
        <x:v>C</x:v>
      </x:c>
      <x:c r="K35" s="44" t="str">
        <x:v>C</x:v>
      </x:c>
      <x:c r="L35" s="44" t="str">
        <x:v>C</x:v>
      </x:c>
      <x:c r="M35" s="44" t="str">
        <x:v>C</x:v>
      </x:c>
      <x:c r="N35" s="44" t="str">
        <x:v>C</x:v>
      </x:c>
      <x:c r="O35" s="44" t="str">
        <x:v>C</x:v>
      </x:c>
      <x:c r="P35" s="44" t="str">
        <x:v>I</x:v>
      </x:c>
      <x:c r="Q35" s="44" t="str">
        <x:v>I</x:v>
      </x:c>
      <x:c r="R35" s="44" t="str">
        <x:v>I</x:v>
      </x:c>
      <x:c r="S35" s="56" t="str">
        <x:v>May cover performance, drift, harmful outputs, fairness, overrides, complaints, incidents, controls and vendor change.</x:v>
      </x:c>
      <x:c r="T35" s="60" t="n">
        <x:f>COUNTIF(D35:R35,"A")+COUNTIF(D35:R35,"A/R")</x:f>
        <x:v>1</x:v>
      </x:c>
      <x:c r="U35" s="68" t="str">
        <x:f>IF(T35=1,"OK","REVIEW")</x:f>
        <x:v>OK</x:v>
      </x:c>
    </x:row>
    <x:row r="36">
      <x:c r="A36" s="67" t="str">
        <x:v>OPS-02</x:v>
      </x:c>
      <x:c r="B36" s="55" t="str">
        <x:v>Operate &amp; Monitor</x:v>
      </x:c>
      <x:c r="C36" s="56" t="str">
        <x:v>Perform ongoing system and control monitoring</x:v>
      </x:c>
      <x:c r="D36" s="44" t="str">
        <x:v>I</x:v>
      </x:c>
      <x:c r="E36" s="44" t="str">
        <x:v>I</x:v>
      </x:c>
      <x:c r="F36" s="44" t="str">
        <x:v>C</x:v>
      </x:c>
      <x:c r="G36" s="44" t="str">
        <x:v>C</x:v>
      </x:c>
      <x:c r="H36" s="44" t="str">
        <x:v>A</x:v>
      </x:c>
      <x:c r="I36" s="44" t="str">
        <x:v>R</x:v>
      </x:c>
      <x:c r="J36" s="44" t="str">
        <x:v>C</x:v>
      </x:c>
      <x:c r="K36" s="44" t="str">
        <x:v>I</x:v>
      </x:c>
      <x:c r="L36" s="44" t="str">
        <x:v>I</x:v>
      </x:c>
      <x:c r="M36" s="44" t="str">
        <x:v>C</x:v>
      </x:c>
      <x:c r="N36" s="44" t="str">
        <x:v>I</x:v>
      </x:c>
      <x:c r="O36" s="44" t="str">
        <x:v>C</x:v>
      </x:c>
      <x:c r="P36" s="44" t="str">
        <x:v>I</x:v>
      </x:c>
      <x:c r="Q36" s="44" t="str">
        <x:v>I</x:v>
      </x:c>
      <x:c r="R36" s="44" t="str">
        <x:v>I</x:v>
      </x:c>
      <x:c r="S36" s="56" t="str">
        <x:v>Business owner owns day-to-day outcome and operational control performance; Technical Owner supplies model/service evidence.</x:v>
      </x:c>
      <x:c r="T36" s="60" t="n">
        <x:f>COUNTIF(D36:R36,"A")+COUNTIF(D36:R36,"A/R")</x:f>
        <x:v>1</x:v>
      </x:c>
      <x:c r="U36" s="68" t="str">
        <x:f>IF(T36=1,"OK","REVIEW")</x:f>
        <x:v>OK</x:v>
      </x:c>
    </x:row>
    <x:row r="37">
      <x:c r="A37" s="67" t="str">
        <x:v>OPS-03</x:v>
      </x:c>
      <x:c r="B37" s="55" t="str">
        <x:v>Operate &amp; Monitor</x:v>
      </x:c>
      <x:c r="C37" s="56" t="str">
        <x:v>Triage and contain AI security incidents</x:v>
      </x:c>
      <x:c r="D37" s="44" t="str">
        <x:v>I</x:v>
      </x:c>
      <x:c r="E37" s="44" t="str">
        <x:v>I</x:v>
      </x:c>
      <x:c r="F37" s="44" t="str">
        <x:v>C</x:v>
      </x:c>
      <x:c r="G37" s="44" t="str">
        <x:v>R</x:v>
      </x:c>
      <x:c r="H37" s="44" t="str">
        <x:v>R</x:v>
      </x:c>
      <x:c r="I37" s="44" t="str">
        <x:v>R</x:v>
      </x:c>
      <x:c r="J37" s="44" t="str">
        <x:v>A</x:v>
      </x:c>
      <x:c r="K37" s="44" t="str">
        <x:v>C</x:v>
      </x:c>
      <x:c r="L37" s="44" t="str">
        <x:v>C</x:v>
      </x:c>
      <x:c r="M37" s="44" t="str">
        <x:v>C</x:v>
      </x:c>
      <x:c r="N37" s="44" t="str">
        <x:v>C</x:v>
      </x:c>
      <x:c r="O37" s="44" t="str">
        <x:v>C</x:v>
      </x:c>
      <x:c r="P37" s="44" t="str">
        <x:v>I</x:v>
      </x:c>
      <x:c r="Q37" s="44" t="str">
        <x:v>I</x:v>
      </x:c>
      <x:c r="R37" s="44" t="str">
        <x:v>I</x:v>
      </x:c>
      <x:c r="S37" s="56" t="str">
        <x:v>Escalate significant data leakage, model compromise, prompt/RAG attack, loss of oversight or material control failure.</x:v>
      </x:c>
      <x:c r="T37" s="60" t="n">
        <x:f>COUNTIF(D37:R37,"A")+COUNTIF(D37:R37,"A/R")</x:f>
        <x:v>1</x:v>
      </x:c>
      <x:c r="U37" s="68" t="str">
        <x:f>IF(T37=1,"OK","REVIEW")</x:f>
        <x:v>OK</x:v>
      </x:c>
    </x:row>
    <x:row r="38">
      <x:c r="A38" s="67" t="str">
        <x:v>OPS-04</x:v>
      </x:c>
      <x:c r="B38" s="55" t="str">
        <x:v>Operate &amp; Monitor</x:v>
      </x:c>
      <x:c r="C38" s="56" t="str">
        <x:v>Manage harmful-output complaints, contestability and affected-person escalation</x:v>
      </x:c>
      <x:c r="D38" s="44" t="str">
        <x:v>I</x:v>
      </x:c>
      <x:c r="E38" s="44" t="str">
        <x:v>I</x:v>
      </x:c>
      <x:c r="F38" s="44" t="str">
        <x:v>C</x:v>
      </x:c>
      <x:c r="G38" s="44" t="str">
        <x:v>R</x:v>
      </x:c>
      <x:c r="H38" s="44" t="str">
        <x:v>A</x:v>
      </x:c>
      <x:c r="I38" s="44" t="str">
        <x:v>C</x:v>
      </x:c>
      <x:c r="J38" s="44" t="str">
        <x:v>C</x:v>
      </x:c>
      <x:c r="K38" s="44" t="str">
        <x:v>C</x:v>
      </x:c>
      <x:c r="L38" s="44" t="str">
        <x:v>C</x:v>
      </x:c>
      <x:c r="M38" s="44" t="str">
        <x:v>C</x:v>
      </x:c>
      <x:c r="N38" s="44" t="str">
        <x:v>I</x:v>
      </x:c>
      <x:c r="O38" s="44" t="str">
        <x:v>C</x:v>
      </x:c>
      <x:c r="P38" s="44" t="str">
        <x:v>I</x:v>
      </x:c>
      <x:c r="Q38" s="44" t="str">
        <x:v>I</x:v>
      </x:c>
      <x:c r="R38" s="44" t="str">
        <x:v>I</x:v>
      </x:c>
      <x:c r="S38" s="56" t="str">
        <x:v>Domain specialists consulted for privacy, employment, customer, safety or rights-related complaints.</x:v>
      </x:c>
      <x:c r="T38" s="60" t="n">
        <x:f>COUNTIF(D38:R38,"A")+COUNTIF(D38:R38,"A/R")</x:f>
        <x:v>1</x:v>
      </x:c>
      <x:c r="U38" s="68" t="str">
        <x:f>IF(T38=1,"OK","REVIEW")</x:f>
        <x:v>OK</x:v>
      </x:c>
    </x:row>
    <x:row r="39">
      <x:c r="A39" s="67" t="str">
        <x:v>OPS-05</x:v>
      </x:c>
      <x:c r="B39" s="55" t="str">
        <x:v>Operate &amp; Monitor</x:v>
      </x:c>
      <x:c r="C39" s="56" t="str">
        <x:v>Trigger and coordinate reassessment after material change or significant event</x:v>
      </x:c>
      <x:c r="D39" s="44" t="str">
        <x:v>I</x:v>
      </x:c>
      <x:c r="E39" s="44" t="str">
        <x:v>I</x:v>
      </x:c>
      <x:c r="F39" s="44" t="str">
        <x:v>C</x:v>
      </x:c>
      <x:c r="G39" s="44" t="str">
        <x:v>A/R</x:v>
      </x:c>
      <x:c r="H39" s="44" t="str">
        <x:v>R</x:v>
      </x:c>
      <x:c r="I39" s="44" t="str">
        <x:v>R</x:v>
      </x:c>
      <x:c r="J39" s="44" t="str">
        <x:v>C</x:v>
      </x:c>
      <x:c r="K39" s="44" t="str">
        <x:v>C</x:v>
      </x:c>
      <x:c r="L39" s="44" t="str">
        <x:v>C</x:v>
      </x:c>
      <x:c r="M39" s="44" t="str">
        <x:v>C</x:v>
      </x:c>
      <x:c r="N39" s="44" t="str">
        <x:v>C</x:v>
      </x:c>
      <x:c r="O39" s="44" t="str">
        <x:v>C</x:v>
      </x:c>
      <x:c r="P39" s="44" t="str">
        <x:v>C</x:v>
      </x:c>
      <x:c r="Q39" s="44" t="str">
        <x:v>I</x:v>
      </x:c>
      <x:c r="R39" s="44" t="str">
        <x:v>I</x:v>
      </x:c>
      <x:c r="S39" s="56" t="str">
        <x:v>Triggers include intended purpose, autonomy, model/provider, data, users, integrations, geography, incident, drift or legal change.</x:v>
      </x:c>
      <x:c r="T39" s="60" t="n">
        <x:f>COUNTIF(D39:R39,"A")+COUNTIF(D39:R39,"A/R")</x:f>
        <x:v>1</x:v>
      </x:c>
      <x:c r="U39" s="68" t="str">
        <x:f>IF(T39=1,"OK","REVIEW")</x:f>
        <x:v>OK</x:v>
      </x:c>
    </x:row>
    <x:row r="40">
      <x:c r="A40" s="67" t="str">
        <x:v>OPS-06</x:v>
      </x:c>
      <x:c r="B40" s="55" t="str">
        <x:v>Operate &amp; Monitor</x:v>
      </x:c>
      <x:c r="C40" s="56" t="str">
        <x:v>Review material vendor/model/service changes</x:v>
      </x:c>
      <x:c r="D40" s="44" t="str">
        <x:v>I</x:v>
      </x:c>
      <x:c r="E40" s="44" t="str">
        <x:v>C</x:v>
      </x:c>
      <x:c r="F40" s="44" t="str">
        <x:v>C</x:v>
      </x:c>
      <x:c r="G40" s="44" t="str">
        <x:v>R</x:v>
      </x:c>
      <x:c r="H40" s="44" t="str">
        <x:v>R</x:v>
      </x:c>
      <x:c r="I40" s="44" t="str">
        <x:v>R</x:v>
      </x:c>
      <x:c r="J40" s="44" t="str">
        <x:v>C</x:v>
      </x:c>
      <x:c r="K40" s="44" t="str">
        <x:v>C</x:v>
      </x:c>
      <x:c r="L40" s="44" t="str">
        <x:v>C</x:v>
      </x:c>
      <x:c r="M40" s="44" t="str">
        <x:v>I</x:v>
      </x:c>
      <x:c r="N40" s="44" t="str">
        <x:v>A</x:v>
      </x:c>
      <x:c r="O40" s="44" t="str">
        <x:v>C</x:v>
      </x:c>
      <x:c r="P40" s="44" t="str">
        <x:v>I</x:v>
      </x:c>
      <x:c r="Q40" s="44" t="str">
        <x:v>I</x:v>
      </x:c>
      <x:c r="R40" s="44" t="str">
        <x:v>I</x:v>
      </x:c>
      <x:c r="S40" s="56" t="str">
        <x:v>Prior evidence and approvals may become invalid if vendor, model or service conditions materially change.</x:v>
      </x:c>
      <x:c r="T40" s="60" t="n">
        <x:f>COUNTIF(D40:R40,"A")+COUNTIF(D40:R40,"A/R")</x:f>
        <x:v>1</x:v>
      </x:c>
      <x:c r="U40" s="68" t="str">
        <x:f>IF(T40=1,"OK","REVIEW")</x:f>
        <x:v>OK</x:v>
      </x:c>
    </x:row>
    <x:row r="41">
      <x:c r="A41" s="67" t="str">
        <x:v>OPS-07</x:v>
      </x:c>
      <x:c r="B41" s="55" t="str">
        <x:v>Operate &amp; Monitor</x:v>
      </x:c>
      <x:c r="C41" s="56" t="str">
        <x:v>Discover and contain unregistered / shadow AI use</x:v>
      </x:c>
      <x:c r="D41" s="44" t="str">
        <x:v>I</x:v>
      </x:c>
      <x:c r="E41" s="44" t="str">
        <x:v>C</x:v>
      </x:c>
      <x:c r="F41" s="44" t="str">
        <x:v>C</x:v>
      </x:c>
      <x:c r="G41" s="44" t="str">
        <x:v>R</x:v>
      </x:c>
      <x:c r="H41" s="44" t="str">
        <x:v>I</x:v>
      </x:c>
      <x:c r="I41" s="44" t="str">
        <x:v>C</x:v>
      </x:c>
      <x:c r="J41" s="44" t="str">
        <x:v>A</x:v>
      </x:c>
      <x:c r="K41" s="44" t="str">
        <x:v>C</x:v>
      </x:c>
      <x:c r="L41" s="44" t="str">
        <x:v>C</x:v>
      </x:c>
      <x:c r="M41" s="44" t="str">
        <x:v>C</x:v>
      </x:c>
      <x:c r="N41" s="44" t="str">
        <x:v>R</x:v>
      </x:c>
      <x:c r="O41" s="44" t="str">
        <x:v>I</x:v>
      </x:c>
      <x:c r="P41" s="44" t="str">
        <x:v>I</x:v>
      </x:c>
      <x:c r="Q41" s="44" t="str">
        <x:v>I</x:v>
      </x:c>
      <x:c r="R41" s="44" t="str">
        <x:v>I</x:v>
      </x:c>
      <x:c r="S41" s="56" t="str">
        <x:v>AI-007 is a discovery/containment condition; material uses must be decomposed into individual inventory records.</x:v>
      </x:c>
      <x:c r="T41" s="60" t="n">
        <x:f>COUNTIF(D41:R41,"A")+COUNTIF(D41:R41,"A/R")</x:f>
        <x:v>1</x:v>
      </x:c>
      <x:c r="U41" s="68" t="str">
        <x:f>IF(T41=1,"OK","REVIEW")</x:f>
        <x:v>OK</x:v>
      </x:c>
    </x:row>
    <x:row r="42">
      <x:c r="A42" s="67" t="str">
        <x:v>OPS-08</x:v>
      </x:c>
      <x:c r="B42" s="55" t="str">
        <x:v>Operate &amp; Monitor</x:v>
      </x:c>
      <x:c r="C42" s="56" t="str">
        <x:v>Maintain responsible-use requirements and AI literacy / awareness</x:v>
      </x:c>
      <x:c r="D42" s="44" t="str">
        <x:v>I</x:v>
      </x:c>
      <x:c r="E42" s="44" t="str">
        <x:v>C</x:v>
      </x:c>
      <x:c r="F42" s="44" t="str">
        <x:v>A</x:v>
      </x:c>
      <x:c r="G42" s="44" t="str">
        <x:v>R</x:v>
      </x:c>
      <x:c r="H42" s="44" t="str">
        <x:v>C</x:v>
      </x:c>
      <x:c r="I42" s="44" t="str">
        <x:v>C</x:v>
      </x:c>
      <x:c r="J42" s="44" t="str">
        <x:v>R</x:v>
      </x:c>
      <x:c r="K42" s="44" t="str">
        <x:v>C</x:v>
      </x:c>
      <x:c r="L42" s="44" t="str">
        <x:v>C</x:v>
      </x:c>
      <x:c r="M42" s="44" t="str">
        <x:v>R</x:v>
      </x:c>
      <x:c r="N42" s="44" t="str">
        <x:v>C</x:v>
      </x:c>
      <x:c r="O42" s="44" t="str">
        <x:v>C</x:v>
      </x:c>
      <x:c r="P42" s="44" t="str">
        <x:v>I</x:v>
      </x:c>
      <x:c r="Q42" s="44" t="str">
        <x:v>I</x:v>
      </x:c>
      <x:c r="R42" s="44" t="str">
        <x:v>I</x:v>
      </x:c>
      <x:c r="S42" s="56" t="str">
        <x:v>Supports controlled experimentation, approved tools, data-handling restrictions, reporting and role-specific competence.</x:v>
      </x:c>
      <x:c r="T42" s="60" t="n">
        <x:f>COUNTIF(D42:R42,"A")+COUNTIF(D42:R42,"A/R")</x:f>
        <x:v>1</x:v>
      </x:c>
      <x:c r="U42" s="68" t="str">
        <x:f>IF(T42=1,"OK","REVIEW")</x:f>
        <x:v>OK</x:v>
      </x:c>
    </x:row>
    <x:row r="43">
      <x:c r="A43" s="65" t="str">
        <x:v>RET-01</x:v>
      </x:c>
      <x:c r="B43" s="47" t="str">
        <x:v>Suspend / Retire</x:v>
      </x:c>
      <x:c r="C43" s="48" t="str">
        <x:v>Suspend or stop a material AI system when risk is unacceptable or conditions fail</x:v>
      </x:c>
      <x:c r="D43" s="44" t="str">
        <x:v>I</x:v>
      </x:c>
      <x:c r="E43" s="44" t="str">
        <x:v>C</x:v>
      </x:c>
      <x:c r="F43" s="44" t="str">
        <x:v>R</x:v>
      </x:c>
      <x:c r="G43" s="44" t="str">
        <x:v>R</x:v>
      </x:c>
      <x:c r="H43" s="44" t="str">
        <x:v>R</x:v>
      </x:c>
      <x:c r="I43" s="44" t="str">
        <x:v>R</x:v>
      </x:c>
      <x:c r="J43" s="44" t="str">
        <x:v>C</x:v>
      </x:c>
      <x:c r="K43" s="44" t="str">
        <x:v>C</x:v>
      </x:c>
      <x:c r="L43" s="44" t="str">
        <x:v>C</x:v>
      </x:c>
      <x:c r="M43" s="44" t="str">
        <x:v>C</x:v>
      </x:c>
      <x:c r="N43" s="44" t="str">
        <x:v>C</x:v>
      </x:c>
      <x:c r="O43" s="44" t="str">
        <x:v>C</x:v>
      </x:c>
      <x:c r="P43" s="44" t="str">
        <x:v>A</x:v>
      </x:c>
      <x:c r="Q43" s="44" t="str">
        <x:v>I</x:v>
      </x:c>
      <x:c r="R43" s="44" t="str">
        <x:v>I</x:v>
      </x:c>
      <x:c r="S43" s="48" t="str">
        <x:v>AI Governance Committee directs suspension for material governance failure; emergency security containment remains under CISO authority.</x:v>
      </x:c>
      <x:c r="T43" s="52" t="n">
        <x:f>COUNTIF(D43:R43,"A")+COUNTIF(D43:R43,"A/R")</x:f>
        <x:v>1</x:v>
      </x:c>
      <x:c r="U43" s="66" t="str">
        <x:f>IF(T43=1,"OK","REVIEW")</x:f>
        <x:v>OK</x:v>
      </x:c>
    </x:row>
    <x:row r="44">
      <x:c r="A44" s="65" t="str">
        <x:v>RET-02</x:v>
      </x:c>
      <x:c r="B44" s="47" t="str">
        <x:v>Suspend / Retire</x:v>
      </x:c>
      <x:c r="C44" s="48" t="str">
        <x:v>Retire or decommission an AI system and close dependencies</x:v>
      </x:c>
      <x:c r="D44" s="44" t="str">
        <x:v>I</x:v>
      </x:c>
      <x:c r="E44" s="44" t="str">
        <x:v>C</x:v>
      </x:c>
      <x:c r="F44" s="44" t="str">
        <x:v>C</x:v>
      </x:c>
      <x:c r="G44" s="44" t="str">
        <x:v>C</x:v>
      </x:c>
      <x:c r="H44" s="44" t="str">
        <x:v>A</x:v>
      </x:c>
      <x:c r="I44" s="44" t="str">
        <x:v>R</x:v>
      </x:c>
      <x:c r="J44" s="44" t="str">
        <x:v>C</x:v>
      </x:c>
      <x:c r="K44" s="44" t="str">
        <x:v>C</x:v>
      </x:c>
      <x:c r="L44" s="44" t="str">
        <x:v>C</x:v>
      </x:c>
      <x:c r="M44" s="44" t="str">
        <x:v>I</x:v>
      </x:c>
      <x:c r="N44" s="44" t="str">
        <x:v>C</x:v>
      </x:c>
      <x:c r="O44" s="44" t="str">
        <x:v>C</x:v>
      </x:c>
      <x:c r="P44" s="44" t="str">
        <x:v>I</x:v>
      </x:c>
      <x:c r="Q44" s="44" t="str">
        <x:v>I</x:v>
      </x:c>
      <x:c r="R44" s="44" t="str">
        <x:v>I</x:v>
      </x:c>
      <x:c r="S44" s="48" t="str">
        <x:v>Includes access removal, integrations, vendor exit, data disposition, monitoring closure and inventory update.</x:v>
      </x:c>
      <x:c r="T44" s="52" t="n">
        <x:f>COUNTIF(D44:R44,"A")+COUNTIF(D44:R44,"A/R")</x:f>
        <x:v>1</x:v>
      </x:c>
      <x:c r="U44" s="66" t="str">
        <x:f>IF(T44=1,"OK","REVIEW")</x:f>
        <x:v>OK</x:v>
      </x:c>
    </x:row>
    <x:row r="45">
      <x:c r="A45" s="65" t="str">
        <x:v>RET-03</x:v>
      </x:c>
      <x:c r="B45" s="47" t="str">
        <x:v>Suspend / Retire</x:v>
      </x:c>
      <x:c r="C45" s="48" t="str">
        <x:v>Retain closure evidence and update inventory / governance records</x:v>
      </x:c>
      <x:c r="D45" s="44" t="str">
        <x:v>I</x:v>
      </x:c>
      <x:c r="E45" s="44" t="str">
        <x:v>I</x:v>
      </x:c>
      <x:c r="F45" s="44" t="str">
        <x:v>C</x:v>
      </x:c>
      <x:c r="G45" s="44" t="str">
        <x:v>A/R</x:v>
      </x:c>
      <x:c r="H45" s="44" t="str">
        <x:v>R</x:v>
      </x:c>
      <x:c r="I45" s="44" t="str">
        <x:v>R</x:v>
      </x:c>
      <x:c r="J45" s="44" t="str">
        <x:v>C</x:v>
      </x:c>
      <x:c r="K45" s="44" t="str">
        <x:v>C</x:v>
      </x:c>
      <x:c r="L45" s="44" t="str">
        <x:v>C</x:v>
      </x:c>
      <x:c r="M45" s="44" t="str">
        <x:v>I</x:v>
      </x:c>
      <x:c r="N45" s="44" t="str">
        <x:v>C</x:v>
      </x:c>
      <x:c r="O45" s="44" t="str">
        <x:v>C</x:v>
      </x:c>
      <x:c r="P45" s="44" t="str">
        <x:v>I</x:v>
      </x:c>
      <x:c r="Q45" s="44" t="str">
        <x:v>I</x:v>
      </x:c>
      <x:c r="R45" s="44" t="str">
        <x:v>I</x:v>
      </x:c>
      <x:c r="S45" s="48" t="str">
        <x:v>Closure evidence should support later auditability and demonstrate why/when the system was retired.</x:v>
      </x:c>
      <x:c r="T45" s="52" t="n">
        <x:f>COUNTIF(D45:R45,"A")+COUNTIF(D45:R45,"A/R")</x:f>
        <x:v>1</x:v>
      </x:c>
      <x:c r="U45" s="66" t="str">
        <x:f>IF(T45=1,"OK","REVIEW")</x:f>
        <x:v>OK</x:v>
      </x:c>
    </x:row>
    <x:row r="46">
      <x:c r="A46" s="67" t="str">
        <x:v>ASS-01</x:v>
      </x:c>
      <x:c r="B46" s="55" t="str">
        <x:v>Independent Assurance</x:v>
      </x:c>
      <x:c r="C46" s="56" t="str">
        <x:v>Plan risk-based independent assurance over AI governance and controls</x:v>
      </x:c>
      <x:c r="D46" s="44" t="str">
        <x:v>I</x:v>
      </x:c>
      <x:c r="E46" s="44" t="str">
        <x:v>I</x:v>
      </x:c>
      <x:c r="F46" s="44" t="str">
        <x:v>C</x:v>
      </x:c>
      <x:c r="G46" s="44" t="str">
        <x:v>I</x:v>
      </x:c>
      <x:c r="H46" s="44" t="str">
        <x:v>I</x:v>
      </x:c>
      <x:c r="I46" s="44" t="str">
        <x:v>I</x:v>
      </x:c>
      <x:c r="J46" s="44" t="str">
        <x:v>I</x:v>
      </x:c>
      <x:c r="K46" s="44" t="str">
        <x:v>I</x:v>
      </x:c>
      <x:c r="L46" s="44" t="str">
        <x:v>I</x:v>
      </x:c>
      <x:c r="M46" s="44" t="str">
        <x:v>I</x:v>
      </x:c>
      <x:c r="N46" s="44" t="str">
        <x:v>I</x:v>
      </x:c>
      <x:c r="O46" s="44" t="str">
        <x:v>I</x:v>
      </x:c>
      <x:c r="P46" s="44" t="str">
        <x:v>I</x:v>
      </x:c>
      <x:c r="Q46" s="44" t="str">
        <x:v>A/R</x:v>
      </x:c>
      <x:c r="R46" s="44" t="str">
        <x:v>C</x:v>
      </x:c>
      <x:c r="S46" s="56" t="str">
        <x:v>Internal Audit remains independent and does not own first- or second-line controls.</x:v>
      </x:c>
      <x:c r="T46" s="60" t="n">
        <x:f>COUNTIF(D46:R46,"A")+COUNTIF(D46:R46,"A/R")</x:f>
        <x:v>1</x:v>
      </x:c>
      <x:c r="U46" s="68" t="str">
        <x:f>IF(T46=1,"OK","REVIEW")</x:f>
        <x:v>OK</x:v>
      </x:c>
    </x:row>
    <x:row r="47">
      <x:c r="A47" s="67" t="str">
        <x:v>ASS-02</x:v>
      </x:c>
      <x:c r="B47" s="55" t="str">
        <x:v>Independent Assurance</x:v>
      </x:c>
      <x:c r="C47" s="56" t="str">
        <x:v>Perform independent control testing and report findings</x:v>
      </x:c>
      <x:c r="D47" s="44" t="str">
        <x:v>I</x:v>
      </x:c>
      <x:c r="E47" s="44" t="str">
        <x:v>I</x:v>
      </x:c>
      <x:c r="F47" s="44" t="str">
        <x:v>C</x:v>
      </x:c>
      <x:c r="G47" s="44" t="str">
        <x:v>I</x:v>
      </x:c>
      <x:c r="H47" s="44" t="str">
        <x:v>C</x:v>
      </x:c>
      <x:c r="I47" s="44" t="str">
        <x:v>C</x:v>
      </x:c>
      <x:c r="J47" s="44" t="str">
        <x:v>C</x:v>
      </x:c>
      <x:c r="K47" s="44" t="str">
        <x:v>C</x:v>
      </x:c>
      <x:c r="L47" s="44" t="str">
        <x:v>C</x:v>
      </x:c>
      <x:c r="M47" s="44" t="str">
        <x:v>C</x:v>
      </x:c>
      <x:c r="N47" s="44" t="str">
        <x:v>C</x:v>
      </x:c>
      <x:c r="O47" s="44" t="str">
        <x:v>C</x:v>
      </x:c>
      <x:c r="P47" s="44" t="str">
        <x:v>I</x:v>
      </x:c>
      <x:c r="Q47" s="44" t="str">
        <x:v>A/R</x:v>
      </x:c>
      <x:c r="R47" s="44" t="str">
        <x:v>I</x:v>
      </x:c>
      <x:c r="S47" s="56" t="str">
        <x:v>Assesses design and operating effectiveness using retained governance evidence.</x:v>
      </x:c>
      <x:c r="T47" s="60" t="n">
        <x:f>COUNTIF(D47:R47,"A")+COUNTIF(D47:R47,"A/R")</x:f>
        <x:v>1</x:v>
      </x:c>
      <x:c r="U47" s="68" t="str">
        <x:f>IF(T47=1,"OK","REVIEW")</x:f>
        <x:v>OK</x:v>
      </x:c>
    </x:row>
    <x:row r="48">
      <x:c r="A48" s="69" t="str">
        <x:v>ASS-03</x:v>
      </x:c>
      <x:c r="B48" s="70" t="str">
        <x:v>Independent Assurance</x:v>
      </x:c>
      <x:c r="C48" s="71" t="str">
        <x:v>Provide Board Audit &amp; Risk Committee oversight of critical AI risk and assurance</x:v>
      </x:c>
      <x:c r="D48" s="72" t="str">
        <x:v>C</x:v>
      </x:c>
      <x:c r="E48" s="72" t="str">
        <x:v>I</x:v>
      </x:c>
      <x:c r="F48" s="72" t="str">
        <x:v>R</x:v>
      </x:c>
      <x:c r="G48" s="72" t="str">
        <x:v>C</x:v>
      </x:c>
      <x:c r="H48" s="72" t="str">
        <x:v>I</x:v>
      </x:c>
      <x:c r="I48" s="72" t="str">
        <x:v>I</x:v>
      </x:c>
      <x:c r="J48" s="72" t="str">
        <x:v>C</x:v>
      </x:c>
      <x:c r="K48" s="72" t="str">
        <x:v>C</x:v>
      </x:c>
      <x:c r="L48" s="72" t="str">
        <x:v>C</x:v>
      </x:c>
      <x:c r="M48" s="72" t="str">
        <x:v>C</x:v>
      </x:c>
      <x:c r="N48" s="72" t="str">
        <x:v>I</x:v>
      </x:c>
      <x:c r="O48" s="72" t="str">
        <x:v>C</x:v>
      </x:c>
      <x:c r="P48" s="72" t="str">
        <x:v>I</x:v>
      </x:c>
      <x:c r="Q48" s="72" t="str">
        <x:v>R</x:v>
      </x:c>
      <x:c r="R48" s="72" t="str">
        <x:v>A</x:v>
      </x:c>
      <x:c r="S48" s="71" t="str">
        <x:v>Board oversight focuses on Critical risks, exceptions, major incidents, regulatory exposure and overdue remediation.</x:v>
      </x:c>
      <x:c r="T48" s="73" t="n">
        <x:f>COUNTIF(D48:R48,"A")+COUNTIF(D48:R48,"A/R")</x:f>
        <x:v>1</x:v>
      </x:c>
      <x:c r="U48" s="74" t="str">
        <x:f>IF(T48=1,"OK","REVIEW")</x:f>
        <x:v>OK</x:v>
      </x:c>
    </x:row>
  </x:sheetData>
  <x:mergeCells>
    <x:mergeCell ref="A1:U1"/>
    <x:mergeCell ref="A2:U2"/>
    <x:mergeCell ref="A3:U3"/>
  </x:mergeCells>
  <x:conditionalFormatting sqref="D6:R48">
    <x:cfRule type="expression" dxfId="0" priority="1">
      <x:formula>D6="A"</x:formula>
    </x:cfRule>
    <x:cfRule type="expression" dxfId="1" priority="2">
      <x:formula>D6="A/R"</x:formula>
    </x:cfRule>
    <x:cfRule type="expression" dxfId="2" priority="3">
      <x:formula>D6="R"</x:formula>
    </x:cfRule>
    <x:cfRule type="expression" dxfId="3" priority="4">
      <x:formula>D6="C"</x:formula>
    </x:cfRule>
    <x:cfRule type="expression" dxfId="4" priority="5">
      <x:formula>D6="I"</x:formula>
    </x:cfRule>
  </x:conditionalFormatting>
  <x:conditionalFormatting sqref="U6:U48">
    <x:cfRule type="expression" dxfId="5" priority="6">
      <x:formula>U6="REVIEW"</x:formula>
    </x:cfRule>
    <x:cfRule type="expression" dxfId="6" priority="7">
      <x:formula>U6="OK"</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8" hidden="0" customWidth="1"/>
    <x:col min="3" max="3" width="22" hidden="0" customWidth="1"/>
    <x:col min="4" max="4" width="42" hidden="0" customWidth="1"/>
    <x:col min="5" max="5" width="42" hidden="0" customWidth="1"/>
    <x:col min="6" max="6" width="42" hidden="0" customWidth="1"/>
  </x:cols>
  <x:sheetData>
    <x:row r="1">
      <x:c r="A1" s="89" t="str">
        <x:v>DUCKWORKS AI GOVERNANCE — ROLE DIRECTORY</x:v>
      </x:c>
      <x:c r="B1" s="89"/>
      <x:c r="C1" s="89"/>
      <x:c r="D1" s="89"/>
      <x:c r="E1" s="89"/>
      <x:c r="F1" s="89"/>
    </x:row>
    <x:row r="3">
      <x:c r="A3" s="62" t="str">
        <x:v>Role</x:v>
      </x:c>
      <x:c r="B3" s="63" t="str">
        <x:v>Named Duckworks Stakeholder / Example</x:v>
      </x:c>
      <x:c r="C3" s="63" t="str">
        <x:v>Governance Layer</x:v>
      </x:c>
      <x:c r="D3" s="63" t="str">
        <x:v>Primary Accountability</x:v>
      </x:c>
      <x:c r="E3" s="63" t="str">
        <x:v>RACI Use in Matrix</x:v>
      </x:c>
      <x:c r="F3" s="64" t="str">
        <x:v>Source-Supported Boundary</x:v>
      </x:c>
    </x:row>
    <x:row r="4">
      <x:c r="A4" s="92" t="str">
        <x:v>CEO / Executive Sponsor</x:v>
      </x:c>
      <x:c r="B4" s="36" t="str">
        <x:v>Dr. Mallory Duckworth</x:v>
      </x:c>
      <x:c r="C4" s="36" t="str">
        <x:v>Executive</x:v>
      </x:c>
      <x:c r="D4" s="36" t="str">
        <x:v>Project W.I.N.G. sponsorship; enterprise conflict resolution; exceptional executive risk decisions.</x:v>
      </x:c>
      <x:c r="E4" s="36" t="str">
        <x:v>A for risk appetite and exceptional Critical acceptance; otherwise C/I.</x:v>
      </x:c>
      <x:c r="F4" s="93" t="str">
        <x:v>Executive sponsor; source does not make CEO day-to-day control owner.</x:v>
      </x:c>
    </x:row>
    <x:row r="5">
      <x:c r="A5" s="92" t="str">
        <x:v>CTO</x:v>
      </x:c>
      <x:c r="B5" s="36" t="str">
        <x:v>Prof. Archibald McDuck</x:v>
      </x:c>
      <x:c r="C5" s="36" t="str">
        <x:v>Executive / First line</x:v>
      </x:c>
      <x:c r="D5" s="36" t="str">
        <x:v>Enterprise AI technology strategy and engineering enablement.</x:v>
      </x:c>
      <x:c r="E5" s="36" t="str">
        <x:v>C on technical gates; executive technology input.</x:v>
      </x:c>
      <x:c r="F5" s="93" t="str">
        <x:v>Owns AI technology strategy; not sole legal/risk approver.</x:v>
      </x:c>
    </x:row>
    <x:row r="6">
      <x:c r="A6" s="92" t="str">
        <x:v>CRCO</x:v>
      </x:c>
      <x:c r="B6" s="36" t="str">
        <x:v>Reginald Duckman</x:v>
      </x:c>
      <x:c r="C6" s="36" t="str">
        <x:v>Second line / Governance sponsor</x:v>
      </x:c>
      <x:c r="D6" s="36" t="str">
        <x:v>AI policy, risk methodology, escalation model; chairs AI Governance Committee.</x:v>
      </x:c>
      <x:c r="E6" s="36" t="str">
        <x:v>A/R for governance framework and committee; R/C for High/Critical decisions.</x:v>
      </x:c>
      <x:c r="F6" s="93" t="str">
        <x:v>Source explicitly assigns governance sponsorship and committee chair.</x:v>
      </x:c>
    </x:row>
    <x:row r="7">
      <x:c r="A7" s="92" t="str">
        <x:v>AI Governance Lead</x:v>
      </x:c>
      <x:c r="B7" s="36" t="str">
        <x:v>Eleanor Duckford</x:v>
      </x:c>
      <x:c r="C7" s="36" t="str">
        <x:v>Second line / Program owner</x:v>
      </x:c>
      <x:c r="D7" s="36" t="str">
        <x:v>Maintains inventory, coordinates assessments, committee packs, evidence and reporting.</x:v>
      </x:c>
      <x:c r="E7" s="36" t="str">
        <x:v>R/A for inventory, framework operation, reassessment coordination and evidence records.</x:v>
      </x:c>
      <x:c r="F7" s="93" t="str">
        <x:v>Day-to-day program owner, not business owner of AI outcomes.</x:v>
      </x:c>
    </x:row>
    <x:row r="8">
      <x:c r="A8" s="92" t="str">
        <x:v>Business / AI System Owner</x:v>
      </x:c>
      <x:c r="B8" s="36" t="str">
        <x:v>Varies by system</x:v>
      </x:c>
      <x:c r="C8" s="36" t="str">
        <x:v>First line</x:v>
      </x:c>
      <x:c r="D8" s="36" t="str">
        <x:v>Owns intended purpose, business outcomes, operating controls, treatment plan and acceptance request.</x:v>
      </x:c>
      <x:c r="E8" s="36" t="str">
        <x:v>A for use-case purpose, assessment ownership, operational monitoring and release within authority.</x:v>
      </x:c>
      <x:c r="F8" s="93" t="str">
        <x:v>Cannot self-approve High/Critical residual risk under Duckworks methodology.</x:v>
      </x:c>
    </x:row>
    <x:row r="9">
      <x:c r="A9" s="92" t="str">
        <x:v>Technical Owner / Data &amp; AI</x:v>
      </x:c>
      <x:c r="B9" s="36" t="str">
        <x:v>Dr. Ada Duckfield / system technical owner</x:v>
      </x:c>
      <x:c r="C9" s="36" t="str">
        <x:v>First line / Technical</x:v>
      </x:c>
      <x:c r="D9" s="36" t="str">
        <x:v>Architecture, model/service implementation, validation, monitoring and technical evidence.</x:v>
      </x:c>
      <x:c r="E9" s="36" t="str">
        <x:v>A/R for technical implementation, validation and monitoring evidence.</x:v>
      </x:c>
      <x:c r="F9" s="93" t="str">
        <x:v>Provides technical evidence; does not determine legal classification alone.</x:v>
      </x:c>
    </x:row>
    <x:row r="10">
      <x:c r="A10" s="92" t="str">
        <x:v>CISO</x:v>
      </x:c>
      <x:c r="B10" s="36" t="str">
        <x:v>Cassandra Duckley</x:v>
      </x:c>
      <x:c r="C10" s="36" t="str">
        <x:v>Second line / Security challenger</x:v>
      </x:c>
      <x:c r="D10" s="36" t="str">
        <x:v>AI security governance, threat modelling, security acceptance criteria and incident response.</x:v>
      </x:c>
      <x:c r="E10" s="36" t="str">
        <x:v>A for security review and AI security incident containment; C elsewhere.</x:v>
      </x:c>
      <x:c r="F10" s="93" t="str">
        <x:v>Mandatory reviewer for material AI; security challenge remains independent.</x:v>
      </x:c>
    </x:row>
    <x:row r="11">
      <x:c r="A11" s="92" t="str">
        <x:v>General Counsel</x:v>
      </x:c>
      <x:c r="B11" s="36" t="str">
        <x:v>Amelia Duckett</x:v>
      </x:c>
      <x:c r="C11" s="36" t="str">
        <x:v>Specialist adviser</x:v>
      </x:c>
      <x:c r="D11" s="36" t="str">
        <x:v>Legal interpretation, contractual review, product/legal risk challenge and escalation advice.</x:v>
      </x:c>
      <x:c r="E11" s="36" t="str">
        <x:v>A for legal/regulatory triage; R/C for contracts and material decisions.</x:v>
      </x:c>
      <x:c r="F11" s="93" t="str">
        <x:v>Legal review is specialist advice; project artifacts are not legal opinions.</x:v>
      </x:c>
    </x:row>
    <x:row r="12">
      <x:c r="A12" s="92" t="str">
        <x:v>DPO</x:v>
      </x:c>
      <x:c r="B12" s="36" t="str">
        <x:v>Delia Duckham</x:v>
      </x:c>
      <x:c r="C12" s="36" t="str">
        <x:v>Independent privacy adviser</x:v>
      </x:c>
      <x:c r="D12" s="36" t="str">
        <x:v>Privacy advice, DPIA guidance and monitoring of personal-data compliance.</x:v>
      </x:c>
      <x:c r="E12" s="36" t="str">
        <x:v>R/C on privacy review; not assigned business accountability for processing decisions.</x:v>
      </x:c>
      <x:c r="F12" s="93" t="str">
        <x:v>Source emphasizes independent advice and monitoring.</x:v>
      </x:c>
    </x:row>
    <x:row r="13">
      <x:c r="A13" s="92" t="str">
        <x:v>Chief People Officer / HR</x:v>
      </x:c>
      <x:c r="B13" s="36" t="str">
        <x:v>Beatrice Van Duck</x:v>
      </x:c>
      <x:c r="C13" s="36" t="str">
        <x:v>First line / Affected-domain owner</x:v>
      </x:c>
      <x:c r="D13" s="36" t="str">
        <x:v>Workforce governance and DuckTalent business outcomes; employment decision integrity.</x:v>
      </x:c>
      <x:c r="E13" s="36" t="str">
        <x:v>A for employment/fairness review; C/R on workforce AI governance.</x:v>
      </x:c>
      <x:c r="F13" s="93" t="str">
        <x:v>Enhanced review for people AI.</x:v>
      </x:c>
    </x:row>
    <x:row r="14">
      <x:c r="A14" s="92" t="str">
        <x:v>Procurement &amp; Vendor Assurance</x:v>
      </x:c>
      <x:c r="B14" s="36" t="str">
        <x:v>Percival Duckworth</x:v>
      </x:c>
      <x:c r="C14" s="36" t="str">
        <x:v>First line / Third-party governance</x:v>
      </x:c>
      <x:c r="D14" s="36" t="str">
        <x:v>AI supplier due diligence, contract process, renewals and exit obligations.</x:v>
      </x:c>
      <x:c r="E14" s="36" t="str">
        <x:v>A for third-party due diligence and vendor change review.</x:v>
      </x:c>
      <x:c r="F14" s="93" t="str">
        <x:v>Engage before AI purchase or renewal.</x:v>
      </x:c>
    </x:row>
    <x:row r="15">
      <x:c r="A15" s="92" t="str">
        <x:v>Product Safety &amp; Quality</x:v>
      </x:c>
      <x:c r="B15" s="36" t="str">
        <x:v>Quentin Duckwell</x:v>
      </x:c>
      <x:c r="C15" s="36" t="str">
        <x:v>Specialist challenger</x:v>
      </x:c>
      <x:c r="D15" s="36" t="str">
        <x:v>Challenges AI use affecting product quality, reliability or safety.</x:v>
      </x:c>
      <x:c r="E15" s="36" t="str">
        <x:v>A for product safety/quality review; C for product-impacting release and monitoring.</x:v>
      </x:c>
      <x:c r="F15" s="93" t="str">
        <x:v>Mandatory for product-impacting AI.</x:v>
      </x:c>
    </x:row>
    <x:row r="16">
      <x:c r="A16" s="92" t="str">
        <x:v>AI Governance Committee</x:v>
      </x:c>
      <x:c r="B16" s="36" t="str">
        <x:v>Cross-functional committee chaired by CRCO</x:v>
      </x:c>
      <x:c r="C16" s="36" t="str">
        <x:v>Cross-functional decision body</x:v>
      </x:c>
      <x:c r="D16" s="36" t="str">
        <x:v>Portfolio risk, approvals, exceptions, incidents and reassessments.</x:v>
      </x:c>
      <x:c r="E16" s="36" t="str">
        <x:v>A for High-risk production gates and material suspension decisions.</x:v>
      </x:c>
      <x:c r="F16" s="93" t="str">
        <x:v>Committee is the cross-functional approval body for material governance decisions.</x:v>
      </x:c>
    </x:row>
    <x:row r="17">
      <x:c r="A17" s="92" t="str">
        <x:v>Internal Audit</x:v>
      </x:c>
      <x:c r="B17" s="36" t="str">
        <x:v>Penelope Duckins</x:v>
      </x:c>
      <x:c r="C17" s="36" t="str">
        <x:v>Third line</x:v>
      </x:c>
      <x:c r="D17" s="36" t="str">
        <x:v>Independent assurance over governance and control design/operation.</x:v>
      </x:c>
      <x:c r="E17" s="36" t="str">
        <x:v>A/R only for independent assurance; otherwise I/C.</x:v>
      </x:c>
      <x:c r="F17" s="93" t="str">
        <x:v>Must not design, own or operate first-/second-line controls.</x:v>
      </x:c>
    </x:row>
    <x:row r="18">
      <x:c r="A18" s="94" t="str">
        <x:v>Board Audit &amp; Risk Committee</x:v>
      </x:c>
      <x:c r="B18" s="95" t="str">
        <x:v>Oversight body</x:v>
      </x:c>
      <x:c r="C18" s="95" t="str">
        <x:v>Board oversight</x:v>
      </x:c>
      <x:c r="D18" s="95" t="str">
        <x:v>Oversight of Critical risks, exceptions, regulatory exposure, major incidents and overdue remediation.</x:v>
      </x:c>
      <x:c r="E18" s="95" t="str">
        <x:v>A for Board-level oversight; C/I on executive risk decisions.</x:v>
      </x:c>
      <x:c r="F18" s="96" t="str">
        <x:v>Quarterly/event-driven oversight; not operational control owner.</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0" hidden="0" customWidth="1"/>
    <x:col min="3" max="3" width="28" hidden="0" customWidth="1"/>
    <x:col min="4" max="4" width="30" hidden="0" customWidth="1"/>
    <x:col min="5" max="5" width="42" hidden="0" customWidth="1"/>
    <x:col min="6" max="6" width="28" hidden="0" customWidth="1"/>
    <x:col min="7" max="7" width="48" hidden="0" customWidth="1"/>
  </x:cols>
  <x:sheetData>
    <x:row r="1">
      <x:c r="A1" s="88" t="str">
        <x:v>DUCKWORKS BASELINE AI PORTFOLIO — OWNER / REVIEW MAP</x:v>
      </x:c>
      <x:c r="B1" s="88"/>
      <x:c r="C1" s="88"/>
      <x:c r="D1" s="88"/>
      <x:c r="E1" s="88"/>
      <x:c r="F1" s="88"/>
      <x:c r="G1" s="88"/>
    </x:row>
    <x:row r="3">
      <x:c r="A3" s="102" t="str">
        <x:v>AI ID</x:v>
      </x:c>
      <x:c r="B3" s="103" t="str">
        <x:v>System</x:v>
      </x:c>
      <x:c r="C3" s="103" t="str">
        <x:v>Primary Purpose</x:v>
      </x:c>
      <x:c r="D3" s="103" t="str">
        <x:v>Named Business / Governance Owner</x:v>
      </x:c>
      <x:c r="E3" s="103" t="str">
        <x:v>Primary Mandatory Review Emphasis</x:v>
      </x:c>
      <x:c r="F3" s="103" t="str">
        <x:v>Current Governance Position</x:v>
      </x:c>
      <x:c r="G3" s="104" t="str">
        <x:v>RACI Note</x:v>
      </x:c>
    </x:row>
    <x:row r="4">
      <x:c r="A4" s="92" t="str">
        <x:v>AI-001</x:v>
      </x:c>
      <x:c r="B4" s="36" t="str">
        <x:v>DuckDesign AI</x:v>
      </x:c>
      <x:c r="C4" s="36" t="str">
        <x:v>Engineering design assistance</x:v>
      </x:c>
      <x:c r="D4" s="36" t="str">
        <x:v>Felix Duckson — VP Product &amp; Engineering</x:v>
      </x:c>
      <x:c r="E4" s="36" t="str">
        <x:v>Technical validation; product safety/quality; IP/data controls</x:v>
      </x:c>
      <x:c r="F4" s="36" t="str">
        <x:v>Restricted pilot only</x:v>
      </x:c>
      <x:c r="G4" s="93" t="str">
        <x:v>Business Owner column represents Felix for this use case; Product Safety &amp; Quality is a mandatory challenger where product impact exists.</x:v>
      </x:c>
    </x:row>
    <x:row r="5">
      <x:c r="A5" s="92" t="str">
        <x:v>AI-002</x:v>
      </x:c>
      <x:c r="B5" s="36" t="str">
        <x:v>QuackBot</x:v>
      </x:c>
      <x:c r="C5" s="36" t="str">
        <x:v>Customer support</x:v>
      </x:c>
      <x:c r="D5" s="36" t="str">
        <x:v>Clara Duckley — Director of Customer Operations</x:v>
      </x:c>
      <x:c r="E5" s="36" t="str">
        <x:v>Prompt/RAG security; safe escalation; content boundaries; customer impact</x:v>
      </x:c>
      <x:c r="F5" s="36" t="str">
        <x:v>Production blocked pending gates</x:v>
      </x:c>
      <x:c r="G5" s="93" t="str">
        <x:v>Business Owner column represents Clara; CISO and Legal/Privacy specialists are consulted before release.</x:v>
      </x:c>
    </x:row>
    <x:row r="6">
      <x:c r="A6" s="92" t="str">
        <x:v>AI-003</x:v>
      </x:c>
      <x:c r="B6" s="36" t="str">
        <x:v>FeatherForecast</x:v>
      </x:c>
      <x:c r="C6" s="36" t="str">
        <x:v>Supply-chain forecasting</x:v>
      </x:c>
      <x:c r="D6" s="36" t="str">
        <x:v>Tobias Duckman — Director of Supply Chain</x:v>
      </x:c>
      <x:c r="E6" s="36" t="str">
        <x:v>Data quality; drift/performance; manager approval for material commitments</x:v>
      </x:c>
      <x:c r="F6" s="36" t="str">
        <x:v>Continue with monitoring</x:v>
      </x:c>
      <x:c r="G6" s="93" t="str">
        <x:v>Business Owner column represents Tobias; governance remains proportionate to Moderate current impact.</x:v>
      </x:c>
    </x:row>
    <x:row r="7">
      <x:c r="A7" s="92" t="str">
        <x:v>AI-004</x:v>
      </x:c>
      <x:c r="B7" s="36" t="str">
        <x:v>WingInspect Vision</x:v>
      </x:c>
      <x:c r="C7" s="36" t="str">
        <x:v>Manufacturing defect detection</x:v>
      </x:c>
      <x:c r="D7" s="36" t="str">
        <x:v>Henrietta Duckwell — Director of Manufacturing</x:v>
      </x:c>
      <x:c r="E7" s="36" t="str">
        <x:v>Human inspector authority; false-negative testing; product safety/quality</x:v>
      </x:c>
      <x:c r="F7" s="36" t="str">
        <x:v>Restricted pilot only</x:v>
      </x:c>
      <x:c r="G7" s="93" t="str">
        <x:v>Business Owner column represents Henrietta; Product Safety &amp; Quality is a mandatory challenger.</x:v>
      </x:c>
    </x:row>
    <x:row r="8">
      <x:c r="A8" s="92" t="str">
        <x:v>AI-005</x:v>
      </x:c>
      <x:c r="B8" s="36" t="str">
        <x:v>DuckTalent AI</x:v>
      </x:c>
      <x:c r="C8" s="36" t="str">
        <x:v>Recruitment screening and ranking</x:v>
      </x:c>
      <x:c r="D8" s="36" t="str">
        <x:v>Beatrice Van Duck — Chief People Officer</x:v>
      </x:c>
      <x:c r="E8" s="36" t="str">
        <x:v>Legal/privacy/fairness; meaningful human review; transparency/contestability</x:v>
      </x:c>
      <x:c r="F8" s="36" t="str">
        <x:v>Do not deploy in current state</x:v>
      </x:c>
      <x:c r="G8" s="93" t="str">
        <x:v>Business Owner/HR roles may converge for DuckTalent; enhanced specialist review remains mandatory.</x:v>
      </x:c>
    </x:row>
    <x:row r="9">
      <x:c r="A9" s="92" t="str">
        <x:v>AI-006</x:v>
      </x:c>
      <x:c r="B9" s="36" t="str">
        <x:v>PondGPT</x:v>
      </x:c>
      <x:c r="C9" s="36" t="str">
        <x:v>Internal employee AI assistant</x:v>
      </x:c>
      <x:c r="D9" s="36" t="str">
        <x:v>Oliver Duckett — Head of IT &amp; Cloud</x:v>
      </x:c>
      <x:c r="E9" s="36" t="str">
        <x:v>Enterprise access controls; sensitive repository exclusions; prompt/RAG security; acceptable use</x:v>
      </x:c>
      <x:c r="F9" s="36" t="str">
        <x:v>Restricted pilot only</x:v>
      </x:c>
      <x:c r="G9" s="93" t="str">
        <x:v>Source identifies Oliver as Business/Technical Owner; CISO/DPO review is central to release conditions.</x:v>
      </x:c>
    </x:row>
    <x:row r="10">
      <x:c r="A10" s="94" t="str">
        <x:v>AI-007</x:v>
      </x:c>
      <x:c r="B10" s="95" t="str">
        <x:v>Unregistered GenAI Usage</x:v>
      </x:c>
      <x:c r="C10" s="95" t="str">
        <x:v>Shadow/uncontrolled employee AI use</x:v>
      </x:c>
      <x:c r="D10" s="95" t="str">
        <x:v>CISO + AI Governance (containment / governance ownership)</x:v>
      </x:c>
      <x:c r="E10" s="95" t="str">
        <x:v>Discovery, sensitive-data containment, approved tools, decomposition into individual use cases</x:v>
      </x:c>
      <x:c r="F10" s="95" t="str">
        <x:v>Immediate containment</x:v>
      </x:c>
      <x:c r="G10" s="96" t="str">
        <x:v>Not treated as one homogeneous AI system; discovered material uses must receive their own business owner and RACI.</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55" hidden="0" customWidth="1"/>
    <x:col min="3" max="3" width="4" hidden="0" customWidth="1"/>
    <x:col min="4" max="4" width="28" hidden="0" customWidth="1"/>
    <x:col min="5" max="5" width="52" hidden="0" customWidth="1"/>
    <x:col min="6" max="6" width="40" hidden="0" customWidth="1"/>
  </x:cols>
  <x:sheetData>
    <x:row r="1">
      <x:c r="A1" s="88" t="str">
        <x:v>DUCKWORKS RACI GUIDANCE AND GOVERNANCE RULES</x:v>
      </x:c>
      <x:c r="B1" s="88"/>
      <x:c r="C1" s="88"/>
      <x:c r="D1" s="88"/>
      <x:c r="E1" s="88"/>
      <x:c r="F1" s="88"/>
    </x:row>
    <x:row r="3">
      <x:c r="A3" s="122" t="str">
        <x:v>Code</x:v>
      </x:c>
      <x:c r="B3" s="123" t="str">
        <x:v>Meaning</x:v>
      </x:c>
      <x:c r="D3" s="134" t="str">
        <x:v>Governance Rule</x:v>
      </x:c>
      <x:c r="E3" s="135" t="str">
        <x:v>Duckworks Application</x:v>
      </x:c>
      <x:c r="F3" s="136" t="str">
        <x:v>Why It Matters</x:v>
      </x:c>
    </x:row>
    <x:row r="4">
      <x:c r="A4" s="124" t="str">
        <x:v>A</x:v>
      </x:c>
      <x:c r="B4" s="125" t="str">
        <x:v>Accountable — owns the decision/outcome and is answerable for completion. Exactly one accountable role per activity.</x:v>
      </x:c>
      <x:c r="D4" s="92" t="str">
        <x:v>One accountable owner</x:v>
      </x:c>
      <x:c r="E4" s="36" t="str">
        <x:v>Every matrix row must contain exactly one A or A/R. The QA columns automatically flag exceptions.</x:v>
      </x:c>
      <x:c r="F4" s="93" t="str">
        <x:v>Prevents ambiguous decision ownership.</x:v>
      </x:c>
    </x:row>
    <x:row r="5">
      <x:c r="A5" s="124" t="str">
        <x:v>R</x:v>
      </x:c>
      <x:c r="B5" s="125" t="str">
        <x:v>Responsible — performs or coordinates the work.</x:v>
      </x:c>
      <x:c r="D5" s="92" t="str">
        <x:v>Three-lines independence</x:v>
      </x:c>
      <x:c r="E5" s="36" t="str">
        <x:v>Internal Audit is A/R only for independent assurance activities; it is not assigned operational control ownership.</x:v>
      </x:c>
      <x:c r="F5" s="93" t="str">
        <x:v>Preserves independent assurance.</x:v>
      </x:c>
    </x:row>
    <x:row r="6">
      <x:c r="A6" s="124" t="str">
        <x:v>A/R</x:v>
      </x:c>
      <x:c r="B6" s="125" t="str">
        <x:v>Accountable and Responsible — one role both owns and performs the activity.</x:v>
      </x:c>
      <x:c r="D6" s="92" t="str">
        <x:v>High/Critical separation</x:v>
      </x:c>
      <x:c r="E6" s="36" t="str">
        <x:v>Business owners cannot self-approve High/Critical residual risk. High uses the AI Governance Committee; Critical normally blocks production or escalates exceptionally.</x:v>
      </x:c>
      <x:c r="F6" s="93" t="str">
        <x:v>Aligns with Duckworks risk methodology.</x:v>
      </x:c>
    </x:row>
    <x:row r="7">
      <x:c r="A7" s="124" t="str">
        <x:v>C</x:v>
      </x:c>
      <x:c r="B7" s="125" t="str">
        <x:v>Consulted — provides specialist input before the decision or completion.</x:v>
      </x:c>
      <x:c r="D7" s="92" t="str">
        <x:v>Legal classification is separate</x:v>
      </x:c>
      <x:c r="E7" s="36" t="str">
        <x:v>Legal/regulatory triage is not replaced by the internal RACI or risk score.</x:v>
      </x:c>
      <x:c r="F7" s="93" t="str">
        <x:v>Prevents enterprise ratings from being treated as legal classifications.</x:v>
      </x:c>
    </x:row>
    <x:row r="8">
      <x:c r="A8" s="126" t="str">
        <x:v>I</x:v>
      </x:c>
      <x:c r="B8" s="127" t="str">
        <x:v>Informed — receives relevant information after or during the activity.</x:v>
      </x:c>
      <x:c r="D8" s="92" t="str">
        <x:v>Intended purpose first</x:v>
      </x:c>
      <x:c r="E8" s="36" t="str">
        <x:v>Business Owner is accountable for intended purpose and use boundaries; material changes trigger reassessment.</x:v>
      </x:c>
      <x:c r="F8" s="93" t="str">
        <x:v>A change in use can change risk and regulatory conclusions.</x:v>
      </x:c>
    </x:row>
    <x:row r="9">
      <x:c r="D9" s="92" t="str">
        <x:v>Shadow AI decomposition</x:v>
      </x:c>
      <x:c r="E9" s="36" t="str">
        <x:v>AI-007 is governed as a discovery/containment condition. Individual material shadow-AI uses must be registered and receive their own owner/RACI.</x:v>
      </x:c>
      <x:c r="F9" s="93" t="str">
        <x:v>Avoids treating heterogeneous uncontrolled uses as one system.</x:v>
      </x:c>
    </x:row>
    <x:row r="10">
      <x:c r="D10" s="94" t="str">
        <x:v>Evidence required</x:v>
      </x:c>
      <x:c r="E10" s="95" t="str">
        <x:v>Controls and approvals should have retained evidence; planned controls do not count as implemented.</x:v>
      </x:c>
      <x:c r="F10" s="96" t="str">
        <x:v>Supports auditability and future assurance.</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44" hidden="0" customWidth="1"/>
    <x:col min="2" max="2" width="55" hidden="0" customWidth="1"/>
    <x:col min="3" max="3" width="18" hidden="0" customWidth="1"/>
    <x:col min="4" max="4" width="18" hidden="0" customWidth="1"/>
    <x:col min="5" max="5" width="42" hidden="0" customWidth="1"/>
  </x:cols>
  <x:sheetData>
    <x:row r="1">
      <x:c r="A1" s="88" t="str">
        <x:v>SOURCE BASIS — DUCKWORKS AI RACI CHART</x:v>
      </x:c>
      <x:c r="B1" s="88"/>
      <x:c r="C1" s="88"/>
      <x:c r="D1" s="88"/>
      <x:c r="E1" s="88"/>
    </x:row>
    <x:row r="2">
      <x:c r="A2" s="20" t="str">
        <x:v>This RACI is grounded in the Duckworks portfolio artifacts listed below. RACI assignments are internal governance design decisions and should not be presented as legal requirements or as requirements of ISO/NIST unless separately verified.</x:v>
      </x:c>
      <x:c r="B2" s="20"/>
      <x:c r="C2" s="20"/>
      <x:c r="D2" s="20"/>
      <x:c r="E2" s="20"/>
    </x:row>
    <x:row r="4">
      <x:c r="A4" s="134" t="str">
        <x:v>Source Artifact</x:v>
      </x:c>
      <x:c r="B4" s="135" t="str">
        <x:v>Key RACI Contribution</x:v>
      </x:c>
      <x:c r="C4" s="135" t="str">
        <x:v>Classification</x:v>
      </x:c>
      <x:c r="D4" s="135" t="str">
        <x:v>Status</x:v>
      </x:c>
      <x:c r="E4" s="136" t="str">
        <x:v>Notes</x:v>
      </x:c>
    </x:row>
    <x:row r="5">
      <x:c r="A5" s="92" t="str">
        <x:v>Duckworks AI Governance Project — Stakeholder Register v1.0</x:v>
      </x:c>
      <x:c r="B5" s="36" t="str">
        <x:v>Named stakeholders; executive/first/second/third-line model; committee cadence; specialist review and escalation roles.</x:v>
      </x:c>
      <x:c r="C5" s="36" t="str">
        <x:v>Project source</x:v>
      </x:c>
      <x:c r="D5" s="36" t="str">
        <x:v>Portfolio Baseline</x:v>
      </x:c>
      <x:c r="E5" s="93" t="str">
        <x:v>Primary source for role boundaries.</x:v>
      </x:c>
    </x:row>
    <x:row r="6">
      <x:c r="A6" s="92" t="str">
        <x:v>Duckworks AI Risk Classification &amp; Assessment Methodology v1.0</x:v>
      </x:c>
      <x:c r="B6" s="36" t="str">
        <x:v>Role accountabilities; High/Critical approval constraints; assessment workflow; reassessment triggers.</x:v>
      </x:c>
      <x:c r="C6" s="36" t="str">
        <x:v>Project source</x:v>
      </x:c>
      <x:c r="D6" s="36" t="str">
        <x:v>Version 1.0</x:v>
      </x:c>
      <x:c r="E6" s="93" t="str">
        <x:v>Primary source for approval and risk-treatment responsibilities.</x:v>
      </x:c>
    </x:row>
    <x:row r="7">
      <x:c r="A7" s="92" t="str">
        <x:v>Duckworks Project Acceptance Criteria v1.0</x:v>
      </x:c>
      <x:c r="B7" s="36" t="str">
        <x:v>Requires clear ownership, human oversight, legal separation, auditability, proportionality and Internal Audit independence.</x:v>
      </x:c>
      <x:c r="C7" s="36" t="str">
        <x:v>Project source</x:v>
      </x:c>
      <x:c r="D7" s="36" t="str">
        <x:v>Portfolio Baseline</x:v>
      </x:c>
      <x:c r="E7" s="93" t="str">
        <x:v>Supports RACI quality rules and governance gates.</x:v>
      </x:c>
    </x:row>
    <x:row r="8">
      <x:c r="A8" s="92" t="str">
        <x:v>Duckworks Project Required Deliverables v1.0</x:v>
      </x:c>
      <x:c r="B8" s="36" t="str">
        <x:v>Defines DEL-14 Duckworks AI RACI as a required artifact and states every key activity should have one accountable owner.</x:v>
      </x:c>
      <x:c r="C8" s="36" t="str">
        <x:v>Project source</x:v>
      </x:c>
      <x:c r="D8" s="36" t="str">
        <x:v>Portfolio Baseline</x:v>
      </x:c>
      <x:c r="E8" s="93" t="str">
        <x:v>Defines expected deliverable and completion condition.</x:v>
      </x:c>
    </x:row>
    <x:row r="9">
      <x:c r="A9" s="92" t="str">
        <x:v>Duckworks AI Governance Project — Business Scenario</x:v>
      </x:c>
      <x:c r="B9" s="36" t="str">
        <x:v>Defines seven-system portfolio, governance mandate and management challenge.</x:v>
      </x:c>
      <x:c r="C9" s="36" t="str">
        <x:v>Project source</x:v>
      </x:c>
      <x:c r="D9" s="36" t="str">
        <x:v>Scenario baseline</x:v>
      </x:c>
      <x:c r="E9" s="93" t="str">
        <x:v>Provides context for lifecycle and affected domains.</x:v>
      </x:c>
    </x:row>
    <x:row r="10">
      <x:c r="A10" s="94" t="str">
        <x:v>Duckworks Project Assumptions Register v1.0</x:v>
      </x:c>
      <x:c r="B10" s="95" t="str">
        <x:v>Defines critical assumptions, shadow-AI treatment, evidence maturity and Internal Audit independence.</x:v>
      </x:c>
      <x:c r="C10" s="95" t="str">
        <x:v>Project source</x:v>
      </x:c>
      <x:c r="D10" s="95" t="str">
        <x:v>Portfolio Baseline</x:v>
      </x:c>
      <x:c r="E10" s="96" t="str">
        <x:v>Used for caveats and escalation triggers.</x:v>
      </x:c>
    </x:row>
  </x:sheetData>
  <x:mergeCells>
    <x:mergeCell ref="A1:E1"/>
    <x:mergeCell ref="A2:E2"/>
  </x:mergeCells>
  <x:pageMargins left="0.7" right="0.7" top="0.75" bottom="0.75" header="0.3" footer="0.3"/>
</x:worksheet>
</file>