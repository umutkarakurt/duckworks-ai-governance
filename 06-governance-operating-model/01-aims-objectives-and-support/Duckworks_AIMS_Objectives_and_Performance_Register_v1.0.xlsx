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302b8286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89c504292a004e9b"/>
    <x:sheet xmlns:r="http://schemas.openxmlformats.org/officeDocument/2006/relationships" name="Objectives" sheetId="2" r:id="R63858675e8184cd9"/>
    <x:sheet xmlns:r="http://schemas.openxmlformats.org/officeDocument/2006/relationships" name="Competence" sheetId="3" r:id="R4bdcb554c8e34b67"/>
    <x:sheet xmlns:r="http://schemas.openxmlformats.org/officeDocument/2006/relationships" name="Document Control" sheetId="4" r:id="R907effeedf984df8"/>
    <x:sheet xmlns:r="http://schemas.openxmlformats.org/officeDocument/2006/relationships" name="Gate Results" sheetId="5" r:id="R638996371c174818"/>
    <x:sheet xmlns:r="http://schemas.openxmlformats.org/officeDocument/2006/relationships" name="Read Me" sheetId="6" r:id="R5ef0fafd632e4f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yyyy-mm-dd"/>
    <x:numFmt numFmtId="202" formatCode="0%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6"/>
      <x:color rgb="FF17324D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256582"/>
      </x:patternFill>
    </x:fill>
    <x:fill>
      <x:patternFill patternType="solid">
        <x:fgColor rgb="FFFFF0C7"/>
      </x:patternFill>
    </x:fill>
  </x:fills>
  <x:borders count="8">
    <x:border/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medium">
        <x:color rgb="FFC69214"/>
      </x:left>
      <x:top style="medium">
        <x:color rgb="FFC69214"/>
      </x:top>
    </x:border>
    <x:border>
      <x:top style="medium">
        <x:color rgb="FFC69214"/>
      </x:top>
    </x:border>
    <x:border>
      <x:right style="medium">
        <x:color rgb="FFC69214"/>
      </x:right>
      <x:top style="medium">
        <x:color rgb="FFC69214"/>
      </x:top>
    </x:border>
    <x:border>
      <x:left style="medium">
        <x:color rgb="FFC69214"/>
      </x:left>
      <x:bottom style="medium">
        <x:color rgb="FFC69214"/>
      </x:bottom>
    </x:border>
    <x:border>
      <x:bottom style="medium">
        <x:color rgb="FFC69214"/>
      </x:bottom>
    </x:border>
    <x:border>
      <x:right style="medium">
        <x:color rgb="FFC69214"/>
      </x:right>
      <x:bottom style="medium">
        <x:color rgb="FFC69214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176B2C"/>
      </x:font>
      <x:fill>
        <x:patternFill patternType="solid">
          <x:bgColor rgb="FFDDF2E1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176B2C"/>
      </x:font>
      <x:fill>
        <x:patternFill patternType="solid">
          <x:bgColor rgb="FFDDF2E1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176B2C"/>
      </x:font>
      <x:fill>
        <x:patternFill patternType="solid">
          <x:bgColor rgb="FFDD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1fbf67d4c45d4" /><Relationship Type="http://schemas.openxmlformats.org/officeDocument/2006/relationships/theme" Target="/xl/theme/theme1.xml" Id="R87c8cc3469624e17" /><Relationship Type="http://schemas.openxmlformats.org/officeDocument/2006/relationships/sharedStrings" Target="/xl/sharedStrings.xml" Id="Rba8bde0cfddc4201" /><Relationship Type="http://schemas.openxmlformats.org/officeDocument/2006/relationships/worksheet" Target="/xl/worksheets/sheet1.xml" Id="R89c504292a004e9b" /><Relationship Type="http://schemas.openxmlformats.org/officeDocument/2006/relationships/worksheet" Target="/xl/worksheets/sheet2.xml" Id="R63858675e8184cd9" /><Relationship Type="http://schemas.openxmlformats.org/officeDocument/2006/relationships/worksheet" Target="/xl/worksheets/sheet3.xml" Id="R4bdcb554c8e34b67" /><Relationship Type="http://schemas.openxmlformats.org/officeDocument/2006/relationships/worksheet" Target="/xl/worksheets/sheet4.xml" Id="R907effeedf984df8" /><Relationship Type="http://schemas.openxmlformats.org/officeDocument/2006/relationships/worksheet" Target="/xl/worksheets/sheet5.xml" Id="R638996371c174818" /><Relationship Type="http://schemas.openxmlformats.org/officeDocument/2006/relationships/worksheet" Target="/xl/worksheets/sheet6.xml" Id="R5ef0fafd632e4f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3a6cf2452847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Objective Current vs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</c:v>
          </c:tx>
          <c:cat>
            <c:strRef>
              <c:f>'Executive Dashboard'!$A$17:$A$24</c:f>
              <c:strCache>
                <c:ptCount val="0"/>
              </c:strCache>
            </c:strRef>
          </c:cat>
          <c:val>
            <c:numRef>
              <c:f>'Executive Dashboard'!$B$17:$B$24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'Executive Dashboard'!$A$17:$A$24</c:f>
              <c:strCache>
                <c:ptCount val="0"/>
              </c:strCache>
            </c:strRef>
          </c:cat>
          <c:val>
            <c:numRef>
              <c:f>'Executive Dashboard'!$C$17:$C$24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a6cf2452847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e4d338759f4f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4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2" t="str">
        <x:v>Duckworks AIMS Performance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5" t="str">
        <x:v>v1.4 | objectives, competence and document-control support | synthetic snapshot; not live production telemetry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0" t="str">
        <x:v>Objectives</x:v>
      </x:c>
      <x:c r="B4" s="10" t="str">
        <x:v>Targets met</x:v>
      </x:c>
      <x:c r="C4" s="10" t="str">
        <x:v>At risk</x:v>
      </x:c>
      <x:c r="D4" s="10" t="str">
        <x:v>Blocked</x:v>
      </x:c>
      <x:c r="E4" s="10" t="str">
        <x:v>Evidence records</x:v>
      </x:c>
      <x:c r="F4" s="10" t="str">
        <x:v>Competence eligible</x:v>
      </x:c>
      <x:c r="G4" s="10" t="str">
        <x:v>Competence blocked</x:v>
      </x:c>
      <x:c r="H4" s="10" t="str">
        <x:v>Priority docs controlled</x:v>
      </x:c>
    </x:row>
    <x:row r="5" ht="30" customHeight="1">
      <x:c r="A5" s="20" t="n">
        <x:f>COUNTA('Objectives'!A5:A12)</x:f>
        <x:v>8</x:v>
      </x:c>
      <x:c r="B5" s="20" t="n">
        <x:f>COUNTIF('Objectives'!P5:P12,"Met")</x:f>
        <x:v>3</x:v>
      </x:c>
      <x:c r="C5" s="20" t="n">
        <x:f>COUNTIF('Objectives'!P5:P12,"At risk")</x:f>
        <x:v>3</x:v>
      </x:c>
      <x:c r="D5" s="20" t="n">
        <x:f>COUNTIF('Objectives'!P5:P12,"Blocked")</x:f>
        <x:v>2</x:v>
      </x:c>
      <x:c r="E5" s="20" t="n">
        <x:v>50</x:v>
      </x:c>
      <x:c r="F5" s="20" t="n">
        <x:v>1</x:v>
      </x:c>
      <x:c r="G5" s="20" t="n">
        <x:v>2</x:v>
      </x:c>
      <x:c r="H5" s="20" t="n">
        <x:v>14</x:v>
      </x:c>
    </x:row>
    <x:row r="8">
      <x:c r="A8" s="10" t="str">
        <x:v>Indicator</x:v>
      </x:c>
      <x:c r="B8" s="10" t="str">
        <x:v>Current</x:v>
      </x:c>
      <x:c r="C8" s="10" t="str">
        <x:v>Target</x:v>
      </x:c>
      <x:c r="D8" s="10" t="str">
        <x:v>Management response</x:v>
      </x:c>
    </x:row>
    <x:row r="9">
      <x:c r="A9" s="16" t="str">
        <x:v>Evidence-backed decisions</x:v>
      </x:c>
      <x:c r="B9" s="16" t="str">
        <x:v>3 of 6</x:v>
      </x:c>
      <x:c r="C9" s="16" t="str">
        <x:v>6 of 6</x:v>
      </x:c>
      <x:c r="D9" s="16" t="str">
        <x:v>Build worked evidence for AI-001, AI-002 and AI-003</x:v>
      </x:c>
    </x:row>
    <x:row r="10">
      <x:c r="A10" s="16" t="str">
        <x:v>Production effectiveness evidence</x:v>
      </x:c>
      <x:c r="B10" s="16" t="str">
        <x:v>0 of 1</x:v>
      </x:c>
      <x:c r="C10" s="16" t="str">
        <x:v>1 of 1</x:v>
      </x:c>
      <x:c r="D10" s="16" t="str">
        <x:v>Retrieve FeatherForecast defined-period evidence</x:v>
      </x:c>
    </x:row>
    <x:row r="11">
      <x:c r="A11" s="16" t="str">
        <x:v>PondGPT supplier blockers</x:v>
      </x:c>
      <x:c r="B11" s="16" t="str">
        <x:v>0 of 5 closed</x:v>
      </x:c>
      <x:c r="C11" s="16" t="str">
        <x:v>5 of 5 before rollout</x:v>
      </x:c>
      <x:c r="D11" s="16" t="str">
        <x:v>Maintain restricted pilot</x:v>
      </x:c>
    </x:row>
    <x:row r="12">
      <x:c r="A12" s="16" t="str">
        <x:v>Competence exceptions</x:v>
      </x:c>
      <x:c r="B12" s="16" t="str">
        <x:v>2 of 3 blocked</x:v>
      </x:c>
      <x:c r="C12" s="16" t="str">
        <x:v>0 unresolved</x:v>
      </x:c>
      <x:c r="D12" s="16" t="str">
        <x:v>Remediate, reassess and obtain human authorization</x:v>
      </x:c>
    </x:row>
    <x:row r="13">
      <x:c r="A13" s="16" t="str">
        <x:v>Priority document authority</x:v>
      </x:c>
      <x:c r="B13" s="16" t="str">
        <x:v>14 of 14</x:v>
      </x:c>
      <x:c r="C13" s="16" t="str">
        <x:v>14 of 14</x:v>
      </x:c>
      <x:c r="D13" s="16" t="str">
        <x:v>Operate monthly review; expand repository scope</x:v>
      </x:c>
    </x:row>
    <x:row r="16">
      <x:c r="A16" s="10" t="str">
        <x:v>Objective</x:v>
      </x:c>
      <x:c r="B16" s="10" t="str">
        <x:v>Current</x:v>
      </x:c>
      <x:c r="C16" s="10" t="str">
        <x:v>Target</x:v>
      </x:c>
    </x:row>
    <x:row r="17">
      <x:c r="A17" s="13" t="str">
        <x:f>'Objectives'!A5</x:f>
        <x:v>OBJ-01</x:v>
      </x:c>
      <x:c r="B17" s="22" t="n">
        <x:f>'Objectives'!H5</x:f>
        <x:v>0.5</x:v>
      </x:c>
      <x:c r="C17" s="22" t="n">
        <x:f>'Objectives'!I5</x:f>
        <x:v>1</x:v>
      </x:c>
    </x:row>
    <x:row r="18">
      <x:c r="A18" s="13" t="str">
        <x:f>'Objectives'!A6</x:f>
        <x:v>OBJ-02</x:v>
      </x:c>
      <x:c r="B18" s="22" t="n">
        <x:f>'Objectives'!H6</x:f>
        <x:v>0</x:v>
      </x:c>
      <x:c r="C18" s="22" t="n">
        <x:f>'Objectives'!I6</x:f>
        <x:v>1</x:v>
      </x:c>
    </x:row>
    <x:row r="19">
      <x:c r="A19" s="13" t="str">
        <x:f>'Objectives'!A7</x:f>
        <x:v>OBJ-03</x:v>
      </x:c>
      <x:c r="B19" s="22" t="n">
        <x:f>'Objectives'!H7</x:f>
        <x:v>0</x:v>
      </x:c>
      <x:c r="C19" s="22" t="n">
        <x:f>'Objectives'!I7</x:f>
        <x:v>1</x:v>
      </x:c>
    </x:row>
    <x:row r="20">
      <x:c r="A20" s="13" t="str">
        <x:f>'Objectives'!A8</x:f>
        <x:v>OBJ-04</x:v>
      </x:c>
      <x:c r="B20" s="22" t="n">
        <x:f>'Objectives'!H8</x:f>
        <x:v>1</x:v>
      </x:c>
      <x:c r="C20" s="22" t="n">
        <x:f>'Objectives'!I8</x:f>
        <x:v>1</x:v>
      </x:c>
    </x:row>
    <x:row r="21">
      <x:c r="A21" s="13" t="str">
        <x:f>'Objectives'!A9</x:f>
        <x:v>OBJ-05</x:v>
      </x:c>
      <x:c r="B21" s="22" t="n">
        <x:f>'Objectives'!H9</x:f>
        <x:v>0.88</x:v>
      </x:c>
      <x:c r="C21" s="22" t="n">
        <x:f>'Objectives'!I9</x:f>
        <x:v>0.95</x:v>
      </x:c>
    </x:row>
    <x:row r="22">
      <x:c r="A22" s="13" t="str">
        <x:f>'Objectives'!A10</x:f>
        <x:v>OBJ-06</x:v>
      </x:c>
      <x:c r="B22" s="22" t="n">
        <x:f>'Objectives'!H10</x:f>
        <x:v>0.3333333333333333</x:v>
      </x:c>
      <x:c r="C22" s="22" t="n">
        <x:f>'Objectives'!I10</x:f>
        <x:v>1</x:v>
      </x:c>
    </x:row>
    <x:row r="23">
      <x:c r="A23" s="13" t="str">
        <x:f>'Objectives'!A11</x:f>
        <x:v>OBJ-07</x:v>
      </x:c>
      <x:c r="B23" s="22" t="n">
        <x:f>'Objectives'!H11</x:f>
        <x:v>1</x:v>
      </x:c>
      <x:c r="C23" s="22" t="n">
        <x:f>'Objectives'!I11</x:f>
        <x:v>1</x:v>
      </x:c>
    </x:row>
    <x:row r="24">
      <x:c r="A24" s="13" t="str">
        <x:f>'Objectives'!A12</x:f>
        <x:v>OBJ-08</x:v>
      </x:c>
      <x:c r="B24" s="22" t="n">
        <x:f>'Objectives'!H12</x:f>
        <x:v>1</x:v>
      </x:c>
      <x:c r="C24" s="22" t="n">
        <x:f>'Objectives'!I12</x:f>
        <x:v>1</x:v>
      </x:c>
    </x:row>
    <x:row r="27">
      <x:c r="A27" s="37" t="str">
        <x:v>Boundary: green status applies only to the stated synthetic population and calculation. It does not prove production effectiveness, conformity, certification, legal compliance or absence of harm.</x:v>
      </x:c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9"/>
    </x:row>
    <x:row r="28">
      <x:c r="A28" s="40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2"/>
    </x:row>
  </x:sheetData>
  <x:mergeCells>
    <x:mergeCell ref="A1:L1"/>
    <x:mergeCell ref="A2:L2"/>
    <x:mergeCell ref="A27:L28"/>
  </x:mergeCells>
  <x:pageMargins left="0.7" right="0.7" top="0.75" bottom="0.75" header="0.3" footer="0.3"/>
  <x:drawing xmlns:r="http://schemas.openxmlformats.org/officeDocument/2006/relationships" r:id="R56e4d338759f4f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2" hidden="0" customWidth="1"/>
    <x:col min="17" max="17" width="42" hidden="0" customWidth="1"/>
    <x:col min="18" max="18" width="42" hidden="0" customWidth="1"/>
  </x:cols>
  <x:sheetData>
    <x:row r="1" ht="30" customHeight="1">
      <x:c r="A1" s="2" t="str">
        <x:v>Duckworks AIMS Objectives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5" t="str">
        <x:v>Version 1.0 | v1.4 support milestone | formula-driven status | synthetic portfolio snapshot as of 2026-09-08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4">
      <x:c r="A4" s="10" t="str">
        <x:v>Objective ID</x:v>
      </x:c>
      <x:c r="B4" s="10" t="str">
        <x:v>Objective</x:v>
      </x:c>
      <x:c r="C4" s="10" t="str">
        <x:v>Baseline Num.</x:v>
      </x:c>
      <x:c r="D4" s="10" t="str">
        <x:v>Baseline Den.</x:v>
      </x:c>
      <x:c r="E4" s="10" t="str">
        <x:v>Baseline Rate</x:v>
      </x:c>
      <x:c r="F4" s="10" t="str">
        <x:v>Current Num.</x:v>
      </x:c>
      <x:c r="G4" s="10" t="str">
        <x:v>Current Den.</x:v>
      </x:c>
      <x:c r="H4" s="10" t="str">
        <x:v>Current Rate</x:v>
      </x:c>
      <x:c r="I4" s="10" t="str">
        <x:v>Target Rate</x:v>
      </x:c>
      <x:c r="J4" s="10" t="str">
        <x:v>Target Date</x:v>
      </x:c>
      <x:c r="K4" s="10" t="str">
        <x:v>Metric ID</x:v>
      </x:c>
      <x:c r="L4" s="10" t="str">
        <x:v>Owner</x:v>
      </x:c>
      <x:c r="M4" s="10" t="str">
        <x:v>Cadence</x:v>
      </x:c>
      <x:c r="N4" s="10" t="str">
        <x:v>Data Source</x:v>
      </x:c>
      <x:c r="O4" s="10" t="str">
        <x:v>Explicit Block</x:v>
      </x:c>
      <x:c r="P4" s="10" t="str">
        <x:v>Status</x:v>
      </x:c>
      <x:c r="Q4" s="10" t="str">
        <x:v>Response if Missed</x:v>
      </x:c>
      <x:c r="R4" s="10" t="str">
        <x:v>Evidence Boundary</x:v>
      </x:c>
    </x:row>
    <x:row r="5">
      <x:c r="A5" s="16" t="str">
        <x:v>OBJ-01</x:v>
      </x:c>
      <x:c r="B5" s="16" t="str">
        <x:v>Evidence-backed lifecycle decision coverage for registered AI systems</x:v>
      </x:c>
      <x:c r="C5" s="16" t="n">
        <x:v>3</x:v>
      </x:c>
      <x:c r="D5" s="16" t="n">
        <x:v>6</x:v>
      </x:c>
      <x:c r="E5" s="17" t="n">
        <x:f>IFERROR(C5/D5,0)</x:f>
        <x:v>0.5</x:v>
      </x:c>
      <x:c r="F5" s="16" t="n">
        <x:v>3</x:v>
      </x:c>
      <x:c r="G5" s="16" t="n">
        <x:v>6</x:v>
      </x:c>
      <x:c r="H5" s="17" t="n">
        <x:f>IFERROR(F5/G5,0)</x:f>
        <x:v>0.5</x:v>
      </x:c>
      <x:c r="I5" s="17" t="n">
        <x:v>1</x:v>
      </x:c>
      <x:c r="J5" s="18" t="n">
        <x:v>46387</x:v>
      </x:c>
      <x:c r="K5" s="16" t="str">
        <x:v>KPI-AIMS-01</x:v>
      </x:c>
      <x:c r="L5" s="16" t="str">
        <x:v>Eleanor Duckford - AI Governance Lead</x:v>
      </x:c>
      <x:c r="M5" s="16" t="str">
        <x:v>Monthly</x:v>
      </x:c>
      <x:c r="N5" s="16" t="str">
        <x:v>AIMS Master Crosswalk</x:v>
      </x:c>
      <x:c r="O5" s="16" t="str">
        <x:v>No</x:v>
      </x:c>
      <x:c r="P5" s="16" t="str">
        <x:f>IF(O5="Yes","Blocked",IF(H5&gt;=I5,"Met",IF(DATE(2026,9,8)&gt;J5,"Missed","At risk")))</x:f>
        <x:v>At risk</x:v>
      </x:c>
      <x:c r="Q5" s="16" t="str">
        <x:v>Prioritize worked evidence and decision records for AI-001, AI-002 and AI-003</x:v>
      </x:c>
      <x:c r="R5" s="16" t="str">
        <x:v>Synthetic evidence coverage does not prove production effectiveness</x:v>
      </x:c>
    </x:row>
    <x:row r="6">
      <x:c r="A6" s="16" t="str">
        <x:v>OBJ-02</x:v>
      </x:c>
      <x:c r="B6" s="16" t="str">
        <x:v>Production AI systems with defined-period production effectiveness evidence</x:v>
      </x:c>
      <x:c r="C6" s="16" t="n">
        <x:v>0</x:v>
      </x:c>
      <x:c r="D6" s="16" t="n">
        <x:v>1</x:v>
      </x:c>
      <x:c r="E6" s="17" t="n">
        <x:f>IFERROR(C6/D6,0)</x:f>
        <x:v>0</x:v>
      </x:c>
      <x:c r="F6" s="16" t="n">
        <x:v>0</x:v>
      </x:c>
      <x:c r="G6" s="16" t="n">
        <x:v>1</x:v>
      </x:c>
      <x:c r="H6" s="17" t="n">
        <x:f>IFERROR(F6/G6,0)</x:f>
        <x:v>0</x:v>
      </x:c>
      <x:c r="I6" s="17" t="n">
        <x:v>1</x:v>
      </x:c>
      <x:c r="J6" s="18" t="n">
        <x:v>46387</x:v>
      </x:c>
      <x:c r="K6" s="16" t="str">
        <x:v>KPI-AIMS-02</x:v>
      </x:c>
      <x:c r="L6" s="16" t="str">
        <x:v>Dr. Ada Duckfield - Head of Data &amp; AI</x:v>
      </x:c>
      <x:c r="M6" s="16" t="str">
        <x:v>Monthly</x:v>
      </x:c>
      <x:c r="N6" s="16" t="str">
        <x:v>Evidence Index and system monitoring records</x:v>
      </x:c>
      <x:c r="O6" s="16" t="str">
        <x:v>No</x:v>
      </x:c>
      <x:c r="P6" s="16" t="str">
        <x:f>IF(O6="Yes","Blocked",IF(H6&gt;=I6,"Met",IF(DATE(2026,9,8)&gt;J6,"Missed","At risk")))</x:f>
        <x:v>At risk</x:v>
      </x:c>
      <x:c r="Q6" s="16" t="str">
        <x:v>Obtain FeatherForecast production monitoring, back-test, approval and exception evidence</x:v>
      </x:c>
      <x:c r="R6" s="16" t="str">
        <x:v>Counts evidence availability, not whether the system is safe or compliant</x:v>
      </x:c>
    </x:row>
    <x:row r="7">
      <x:c r="A7" s="16" t="str">
        <x:v>OBJ-03</x:v>
      </x:c>
      <x:c r="B7" s="16" t="str">
        <x:v>PondGPT broader-rollout supplier conditions closed and independently accepted</x:v>
      </x:c>
      <x:c r="C7" s="16" t="n">
        <x:v>0</x:v>
      </x:c>
      <x:c r="D7" s="16" t="n">
        <x:v>5</x:v>
      </x:c>
      <x:c r="E7" s="17" t="n">
        <x:f>IFERROR(C7/D7,0)</x:f>
        <x:v>0</x:v>
      </x:c>
      <x:c r="F7" s="16" t="n">
        <x:v>0</x:v>
      </x:c>
      <x:c r="G7" s="16" t="n">
        <x:v>5</x:v>
      </x:c>
      <x:c r="H7" s="17" t="n">
        <x:f>IFERROR(F7/G7,0)</x:f>
        <x:v>0</x:v>
      </x:c>
      <x:c r="I7" s="17" t="n">
        <x:v>1</x:v>
      </x:c>
      <x:c r="J7" s="18" t="n">
        <x:v>46371</x:v>
      </x:c>
      <x:c r="K7" s="16" t="str">
        <x:v>KRI-AIMS-01</x:v>
      </x:c>
      <x:c r="L7" s="16" t="str">
        <x:v>Percival Duckworth - Director Procurement &amp; Vendor Assurance</x:v>
      </x:c>
      <x:c r="M7" s="16" t="str">
        <x:v>Monthly</x:v>
      </x:c>
      <x:c r="N7" s="16" t="str">
        <x:v>Supplier Contract Control Schedule</x:v>
      </x:c>
      <x:c r="O7" s="16" t="str">
        <x:v>Yes</x:v>
      </x:c>
      <x:c r="P7" s="16" t="str">
        <x:f>IF(O7="Yes","Blocked",IF(H7&gt;=I7,"Met",IF(DATE(2026,9,8)&gt;J7,"Missed","At risk")))</x:f>
        <x:v>Blocked</x:v>
      </x:c>
      <x:c r="Q7" s="16" t="str">
        <x:v>Maintain restricted pilot and escalate overdue blocking conditions</x:v>
      </x:c>
      <x:c r="R7" s="16" t="str">
        <x:v>No condition closes without verified supplier and Duckworks acceptance evidence</x:v>
      </x:c>
    </x:row>
    <x:row r="8">
      <x:c r="A8" s="16" t="str">
        <x:v>OBJ-04</x:v>
      </x:c>
      <x:c r="B8" s="16" t="str">
        <x:v>Canonical evidence records with explicit state and boundary</x:v>
      </x:c>
      <x:c r="C8" s="16" t="n">
        <x:v>42</x:v>
      </x:c>
      <x:c r="D8" s="16" t="n">
        <x:v>42</x:v>
      </x:c>
      <x:c r="E8" s="17" t="n">
        <x:f>IFERROR(C8/D8,0)</x:f>
        <x:v>1</x:v>
      </x:c>
      <x:c r="F8" s="16" t="n">
        <x:v>50</x:v>
      </x:c>
      <x:c r="G8" s="16" t="n">
        <x:v>50</x:v>
      </x:c>
      <x:c r="H8" s="17" t="n">
        <x:f>IFERROR(F8/G8,0)</x:f>
        <x:v>1</x:v>
      </x:c>
      <x:c r="I8" s="17" t="n">
        <x:v>1</x:v>
      </x:c>
      <x:c r="J8" s="18" t="n">
        <x:v>46273</x:v>
      </x:c>
      <x:c r="K8" s="16" t="str">
        <x:v>KPI-AIMS-03</x:v>
      </x:c>
      <x:c r="L8" s="16" t="str">
        <x:v>Eleanor Duckford - AI Governance Lead</x:v>
      </x:c>
      <x:c r="M8" s="16" t="str">
        <x:v>Monthly</x:v>
      </x:c>
      <x:c r="N8" s="16" t="str">
        <x:v>Control Evidence Index</x:v>
      </x:c>
      <x:c r="O8" s="16" t="str">
        <x:v>No</x:v>
      </x:c>
      <x:c r="P8" s="16" t="str">
        <x:f>IF(O8="Yes","Blocked",IF(H8&gt;=I8,"Met",IF(DATE(2026,9,8)&gt;J8,"Missed","At risk")))</x:f>
        <x:v>Met</x:v>
      </x:c>
      <x:c r="Q8" s="16" t="str">
        <x:v>Correct incomplete metadata before evidence is used in a decision</x:v>
      </x:c>
      <x:c r="R8" s="16" t="str">
        <x:v>Metadata completeness does not establish evidence reliability or effectiveness</x:v>
      </x:c>
    </x:row>
    <x:row r="9">
      <x:c r="A9" s="16" t="str">
        <x:v>OBJ-05</x:v>
      </x:c>
      <x:c r="B9" s="16" t="str">
        <x:v>Canonical evidence records available for inspection</x:v>
      </x:c>
      <x:c r="C9" s="16" t="n">
        <x:v>36</x:v>
      </x:c>
      <x:c r="D9" s="16" t="n">
        <x:v>42</x:v>
      </x:c>
      <x:c r="E9" s="17" t="n">
        <x:f>IFERROR(C9/D9,0)</x:f>
        <x:v>0.8571428571428571</x:v>
      </x:c>
      <x:c r="F9" s="16" t="n">
        <x:v>44</x:v>
      </x:c>
      <x:c r="G9" s="16" t="n">
        <x:v>50</x:v>
      </x:c>
      <x:c r="H9" s="17" t="n">
        <x:f>IFERROR(F9/G9,0)</x:f>
        <x:v>0.88</x:v>
      </x:c>
      <x:c r="I9" s="17" t="n">
        <x:v>0.95</x:v>
      </x:c>
      <x:c r="J9" s="18" t="n">
        <x:v>46387</x:v>
      </x:c>
      <x:c r="K9" s="16" t="str">
        <x:v>KRI-AIMS-02</x:v>
      </x:c>
      <x:c r="L9" s="16" t="str">
        <x:v>Eleanor Duckford - AI Governance Lead</x:v>
      </x:c>
      <x:c r="M9" s="16" t="str">
        <x:v>Monthly</x:v>
      </x:c>
      <x:c r="N9" s="16" t="str">
        <x:v>Control Evidence Index</x:v>
      </x:c>
      <x:c r="O9" s="16" t="str">
        <x:v>No</x:v>
      </x:c>
      <x:c r="P9" s="16" t="str">
        <x:f>IF(O9="Yes","Blocked",IF(H9&gt;=I9,"Met",IF(DATE(2026,9,8)&gt;J9,"Missed","At risk")))</x:f>
        <x:v>At risk</x:v>
      </x:c>
      <x:c r="Q9" s="16" t="str">
        <x:v>Obtain or explicitly disposition unavailable production records</x:v>
      </x:c>
      <x:c r="R9" s="16" t="str">
        <x:v>Availability includes synthetic records and is not production coverage</x:v>
      </x:c>
    </x:row>
    <x:row r="10">
      <x:c r="A10" s="16" t="str">
        <x:v>OBJ-06</x:v>
      </x:c>
      <x:c r="B10" s="16" t="str">
        <x:v>Synthetic competence records eligible within defined authorization scope</x:v>
      </x:c>
      <x:c r="C10" s="16" t="n">
        <x:v>0</x:v>
      </x:c>
      <x:c r="D10" s="16" t="n">
        <x:v>3</x:v>
      </x:c>
      <x:c r="E10" s="17" t="n">
        <x:f>IFERROR(C10/D10,0)</x:f>
        <x:v>0</x:v>
      </x:c>
      <x:c r="F10" s="16" t="n">
        <x:v>1</x:v>
      </x:c>
      <x:c r="G10" s="16" t="n">
        <x:v>3</x:v>
      </x:c>
      <x:c r="H10" s="17" t="n">
        <x:f>IFERROR(F10/G10,0)</x:f>
        <x:v>0.3333333333333333</x:v>
      </x:c>
      <x:c r="I10" s="17" t="n">
        <x:v>1</x:v>
      </x:c>
      <x:c r="J10" s="18" t="n">
        <x:v>46326</x:v>
      </x:c>
      <x:c r="K10" s="16" t="str">
        <x:v>KRI-AIMS-03</x:v>
      </x:c>
      <x:c r="L10" s="16" t="str">
        <x:v>Relevant Business Owner</x:v>
      </x:c>
      <x:c r="M10" s="16" t="str">
        <x:v>Monthly</x:v>
      </x:c>
      <x:c r="N10" s="16" t="str">
        <x:v>Competence and Authorization Register</x:v>
      </x:c>
      <x:c r="O10" s="16" t="str">
        <x:v>Yes</x:v>
      </x:c>
      <x:c r="P10" s="16" t="str">
        <x:f>IF(O10="Yes","Blocked",IF(H10&gt;=I10,"Met",IF(DATE(2026,9,8)&gt;J10,"Missed","At risk")))</x:f>
        <x:v>Blocked</x:v>
      </x:c>
      <x:c r="Q10" s="16" t="str">
        <x:v>Block expired or insufficient records and complete reassessment or renewal</x:v>
      </x:c>
      <x:c r="R10" s="16" t="str">
        <x:v>Three test records are not an enterprise workforce population</x:v>
      </x:c>
    </x:row>
    <x:row r="11">
      <x:c r="A11" s="16" t="str">
        <x:v>OBJ-07</x:v>
      </x:c>
      <x:c r="B11" s="16" t="str">
        <x:v>Synthetic audit corrective actions closed against approved criteria</x:v>
      </x:c>
      <x:c r="C11" s="16" t="n">
        <x:v>1</x:v>
      </x:c>
      <x:c r="D11" s="16" t="n">
        <x:v>1</x:v>
      </x:c>
      <x:c r="E11" s="17" t="n">
        <x:f>IFERROR(C11/D11,0)</x:f>
        <x:v>1</x:v>
      </x:c>
      <x:c r="F11" s="16" t="n">
        <x:v>1</x:v>
      </x:c>
      <x:c r="G11" s="16" t="n">
        <x:v>1</x:v>
      </x:c>
      <x:c r="H11" s="17" t="n">
        <x:f>IFERROR(F11/G11,0)</x:f>
        <x:v>1</x:v>
      </x:c>
      <x:c r="I11" s="17" t="n">
        <x:v>1</x:v>
      </x:c>
      <x:c r="J11" s="18" t="n">
        <x:v>46273</x:v>
      </x:c>
      <x:c r="K11" s="16" t="str">
        <x:v>KPI-AIMS-04</x:v>
      </x:c>
      <x:c r="L11" s="16" t="str">
        <x:v>Penelope Duckins - Head of Internal Audit</x:v>
      </x:c>
      <x:c r="M11" s="16" t="str">
        <x:v>Quarterly</x:v>
      </x:c>
      <x:c r="N11" s="16" t="str">
        <x:v>IAF-2026-001 closure record</x:v>
      </x:c>
      <x:c r="O11" s="16" t="str">
        <x:v>No</x:v>
      </x:c>
      <x:c r="P11" s="16" t="str">
        <x:f>IF(O11="Yes","Blocked",IF(H11&gt;=I11,"Met",IF(DATE(2026,9,8)&gt;J11,"Missed","At risk")))</x:f>
        <x:v>Met</x:v>
      </x:c>
      <x:c r="Q11" s="16" t="str">
        <x:v>Reopen the finding if recurrence or evidence invalidation occurs</x:v>
      </x:c>
      <x:c r="R11" s="16" t="str">
        <x:v>One bounded case does not demonstrate an enterprise audit program</x:v>
      </x:c>
    </x:row>
    <x:row r="12">
      <x:c r="A12" s="16" t="str">
        <x:v>OBJ-08</x:v>
      </x:c>
      <x:c r="B12" s="16" t="str">
        <x:v>Priority AIMS documents recorded with authority, owner, review and supersession metadata</x:v>
      </x:c>
      <x:c r="C12" s="16" t="n">
        <x:v>0</x:v>
      </x:c>
      <x:c r="D12" s="16" t="n">
        <x:v>14</x:v>
      </x:c>
      <x:c r="E12" s="17" t="n">
        <x:f>IFERROR(C12/D12,0)</x:f>
        <x:v>0</x:v>
      </x:c>
      <x:c r="F12" s="16" t="n">
        <x:v>14</x:v>
      </x:c>
      <x:c r="G12" s="16" t="n">
        <x:v>14</x:v>
      </x:c>
      <x:c r="H12" s="17" t="n">
        <x:f>IFERROR(F12/G12,0)</x:f>
        <x:v>1</x:v>
      </x:c>
      <x:c r="I12" s="17" t="n">
        <x:v>1</x:v>
      </x:c>
      <x:c r="J12" s="18" t="n">
        <x:v>46273</x:v>
      </x:c>
      <x:c r="K12" s="16" t="str">
        <x:v>KPI-AIMS-05</x:v>
      </x:c>
      <x:c r="L12" s="16" t="str">
        <x:v>Eleanor Duckford - AI Governance Lead</x:v>
      </x:c>
      <x:c r="M12" s="16" t="str">
        <x:v>Monthly</x:v>
      </x:c>
      <x:c r="N12" s="16" t="str">
        <x:v>Document Control Register</x:v>
      </x:c>
      <x:c r="O12" s="16" t="str">
        <x:v>No</x:v>
      </x:c>
      <x:c r="P12" s="16" t="str">
        <x:f>IF(O12="Yes","Blocked",IF(H12&gt;=I12,"Met",IF(DATE(2026,9,8)&gt;J12,"Missed","At risk")))</x:f>
        <x:v>Met</x:v>
      </x:c>
      <x:c r="Q12" s="16" t="str">
        <x:v>Register missing priority documents and suspend reliance until authority is resolved</x:v>
      </x:c>
      <x:c r="R12" s="16" t="str">
        <x:v>Priority-scope completion is not repository-wide document control</x:v>
      </x:c>
    </x:row>
  </x:sheetData>
  <x:mergeCells>
    <x:mergeCell ref="A1:R1"/>
    <x:mergeCell ref="A2:R2"/>
  </x:mergeCells>
  <x:conditionalFormatting sqref="P5:P12">
    <x:cfRule type="containsText" dxfId="0" priority="1" operator="containsText" text="Met"/>
    <x:cfRule type="containsText" dxfId="1" priority="2" operator="containsText" text="At risk"/>
    <x:cfRule type="containsText" dxfId="2" priority="3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 ht="30" customHeight="1">
      <x:c r="A1" s="2" t="str">
        <x:v>Competence and Authorization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8" customHeight="1">
      <x:c r="A2" s="5" t="str">
        <x:v>As-of date 2026-09-08 | machine eligibility cannot grant authority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>
      <x:c r="A4" s="10" t="str">
        <x:v>Record ID</x:v>
      </x:c>
      <x:c r="B4" s="10" t="str">
        <x:v>Role ID</x:v>
      </x:c>
      <x:c r="C4" s="10" t="str">
        <x:v>Person / Persona</x:v>
      </x:c>
      <x:c r="D4" s="10" t="str">
        <x:v>Role</x:v>
      </x:c>
      <x:c r="E4" s="10" t="str">
        <x:v>Controlled Activity</x:v>
      </x:c>
      <x:c r="F4" s="10" t="str">
        <x:v>Threshold</x:v>
      </x:c>
      <x:c r="G4" s="10" t="str">
        <x:v>Score</x:v>
      </x:c>
      <x:c r="H4" s="10" t="str">
        <x:v>Training Complete</x:v>
      </x:c>
      <x:c r="I4" s="10" t="str">
        <x:v>Start</x:v>
      </x:c>
      <x:c r="J4" s="10" t="str">
        <x:v>Expiry</x:v>
      </x:c>
      <x:c r="K4" s="10" t="str">
        <x:v>Refresher Due</x:v>
      </x:c>
      <x:c r="L4" s="10" t="str">
        <x:v>Suspended</x:v>
      </x:c>
      <x:c r="M4" s="10" t="str">
        <x:v>Scope Match</x:v>
      </x:c>
      <x:c r="N4" s="10" t="str">
        <x:v>Human Approver</x:v>
      </x:c>
      <x:c r="O4" s="10" t="str">
        <x:v>Calculated Gate</x:v>
      </x:c>
      <x:c r="P4" s="10" t="str">
        <x:v>Evidence ID</x:v>
      </x:c>
      <x:c r="Q4" s="10" t="str">
        <x:v>Boundary</x:v>
      </x:c>
    </x:row>
    <x:row r="5">
      <x:c r="A5" s="16" t="str">
        <x:v>COMP-001</x:v>
      </x:c>
      <x:c r="B5" s="16" t="str">
        <x:v>S-17</x:v>
      </x:c>
      <x:c r="C5" s="16" t="str">
        <x:v>Eleanor Duckford</x:v>
      </x:c>
      <x:c r="D5" s="16" t="str">
        <x:v>AI Governance Lead</x:v>
      </x:c>
      <x:c r="E5" s="16" t="str">
        <x:v>Coordinate lifecycle gate evidence packages</x:v>
      </x:c>
      <x:c r="F5" s="16" t="n">
        <x:v>80</x:v>
      </x:c>
      <x:c r="G5" s="16" t="n">
        <x:v>92</x:v>
      </x:c>
      <x:c r="H5" s="16" t="str">
        <x:v>Yes</x:v>
      </x:c>
      <x:c r="I5" s="18" t="n">
        <x:v>46273</x:v>
      </x:c>
      <x:c r="J5" s="18" t="n">
        <x:v>46637</x:v>
      </x:c>
      <x:c r="K5" s="18" t="n">
        <x:v>46607</x:v>
      </x:c>
      <x:c r="L5" s="16" t="str">
        <x:v>No</x:v>
      </x:c>
      <x:c r="M5" s="16" t="str">
        <x:v>Yes</x:v>
      </x:c>
      <x:c r="N5" s="16" t="str">
        <x:v>Reginald Duckman - CRCO</x:v>
      </x:c>
      <x:c r="O5" s="16" t="str">
        <x:f>IF(OR(H5&lt;&gt;"Yes",G5&lt;F5,J5&lt;DATE(2026,9,8),K5&lt;DATE(2026,9,8),L5="Yes",M5&lt;&gt;"Yes"),"BLOCKED","ELIGIBLE FOR HUMAN AUTHORIZATION")</x:f>
        <x:v>ELIGIBLE FOR HUMAN AUTHORIZATION</x:v>
      </x:c>
      <x:c r="P5" s="16" t="str">
        <x:v>EV-AIMS-004</x:v>
      </x:c>
      <x:c r="Q5" s="16" t="str">
        <x:v>Coordination only; no risk-acceptance authority</x:v>
      </x:c>
    </x:row>
    <x:row r="6">
      <x:c r="A6" s="16" t="str">
        <x:v>COMP-002</x:v>
      </x:c>
      <x:c r="B6" s="16" t="str">
        <x:v>ROLE-QI-01</x:v>
      </x:c>
      <x:c r="C6" s="16" t="str">
        <x:v>Inspector QI-017 (synthetic persona)</x:v>
      </x:c>
      <x:c r="D6" s="16" t="str">
        <x:v>Qualified Manufacturing Inspector</x:v>
      </x:c>
      <x:c r="E6" s="16" t="str">
        <x:v>Authorize WingInspect item release</x:v>
      </x:c>
      <x:c r="F6" s="16" t="n">
        <x:v>80</x:v>
      </x:c>
      <x:c r="G6" s="16" t="n">
        <x:v>88</x:v>
      </x:c>
      <x:c r="H6" s="16" t="str">
        <x:v>Yes</x:v>
      </x:c>
      <x:c r="I6" s="18" t="n">
        <x:v>45901</x:v>
      </x:c>
      <x:c r="J6" s="18" t="n">
        <x:v>46265</x:v>
      </x:c>
      <x:c r="K6" s="18" t="n">
        <x:v>46235</x:v>
      </x:c>
      <x:c r="L6" s="16" t="str">
        <x:v>No</x:v>
      </x:c>
      <x:c r="M6" s="16" t="str">
        <x:v>Yes</x:v>
      </x:c>
      <x:c r="N6" s="16" t="str">
        <x:v>Henrietta Duckwell - Director Manufacturing</x:v>
      </x:c>
      <x:c r="O6" s="16" t="str">
        <x:f>IF(OR(H6&lt;&gt;"Yes",G6&lt;F6,J6&lt;DATE(2026,9,8),K6&lt;DATE(2026,9,8),L6="Yes",M6&lt;&gt;"Yes"),"BLOCKED","ELIGIBLE FOR HUMAN AUTHORIZATION")</x:f>
        <x:v>BLOCKED</x:v>
      </x:c>
      <x:c r="P6" s="16" t="str">
        <x:v>EV-AIMS-008</x:v>
      </x:c>
      <x:c r="Q6" s="16" t="str">
        <x:v>Synthetic persona; no production authority</x:v>
      </x:c>
    </x:row>
    <x:row r="7">
      <x:c r="A7" s="16" t="str">
        <x:v>COMP-003</x:v>
      </x:c>
      <x:c r="B7" s="16" t="str">
        <x:v>S-15</x:v>
      </x:c>
      <x:c r="C7" s="16" t="str">
        <x:v>Percival Duckworth</x:v>
      </x:c>
      <x:c r="D7" s="16" t="str">
        <x:v>Director Procurement &amp; Vendor Assurance</x:v>
      </x:c>
      <x:c r="E7" s="16" t="str">
        <x:v>Approve completion recommendation for AI supplier due diligence</x:v>
      </x:c>
      <x:c r="F7" s="16" t="n">
        <x:v>80</x:v>
      </x:c>
      <x:c r="G7" s="16" t="n">
        <x:v>74</x:v>
      </x:c>
      <x:c r="H7" s="16" t="str">
        <x:v>Yes</x:v>
      </x:c>
      <x:c r="I7" s="18" t="n">
        <x:v>46266</x:v>
      </x:c>
      <x:c r="J7" s="18" t="n">
        <x:v>46630</x:v>
      </x:c>
      <x:c r="K7" s="18" t="n">
        <x:v>46599</x:v>
      </x:c>
      <x:c r="L7" s="16" t="str">
        <x:v>No</x:v>
      </x:c>
      <x:c r="M7" s="16" t="str">
        <x:v>Yes</x:v>
      </x:c>
      <x:c r="N7" s="16" t="str">
        <x:v>Reginald Duckman - CRCO</x:v>
      </x:c>
      <x:c r="O7" s="16" t="str">
        <x:f>IF(OR(H7&lt;&gt;"Yes",G7&lt;F7,J7&lt;DATE(2026,9,8),K7&lt;DATE(2026,9,8),L7="Yes",M7&lt;&gt;"Yes"),"BLOCKED","ELIGIBLE FOR HUMAN AUTHORIZATION")</x:f>
        <x:v>BLOCKED</x:v>
      </x:c>
      <x:c r="P7" s="16" t="str">
        <x:v>EV-AIMS-008</x:v>
      </x:c>
      <x:c r="Q7" s="16" t="str">
        <x:v>Assessment failure; final supplier decision remains separate</x:v>
      </x:c>
    </x:row>
  </x:sheetData>
  <x:mergeCells>
    <x:mergeCell ref="A1:Q1"/>
    <x:mergeCell ref="A2:Q2"/>
  </x:mergeCells>
  <x:conditionalFormatting sqref="O5:O7">
    <x:cfRule type="containsText" dxfId="3" priority="1" operator="containsText" text="BLOCKED"/>
    <x:cfRule type="containsText" dxfId="4" priority="2" operator="containsText" text="ELIGIBL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2" hidden="0" customWidth="1"/>
    <x:col min="4" max="4" width="18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6" hidden="0" customWidth="1"/>
  </x:cols>
  <x:sheetData>
    <x:row r="1" ht="30" customHeight="1">
      <x:c r="A1" s="2" t="str">
        <x:v>Priority Document and Evidence Control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5" t="str">
        <x:v>14 priority records | portfolio retention rule requires real legal and records-management validation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>
      <x:c r="A4" s="10" t="str">
        <x:v>Document ID</x:v>
      </x:c>
      <x:c r="B4" s="10" t="str">
        <x:v>Title</x:v>
      </x:c>
      <x:c r="C4" s="10" t="str">
        <x:v>Authoritative Path</x:v>
      </x:c>
      <x:c r="D4" s="10" t="str">
        <x:v>Format</x:v>
      </x:c>
      <x:c r="E4" s="10" t="str">
        <x:v>Owner</x:v>
      </x:c>
      <x:c r="F4" s="10" t="str">
        <x:v>Status</x:v>
      </x:c>
      <x:c r="G4" s="10" t="str">
        <x:v>Effective</x:v>
      </x:c>
      <x:c r="H4" s="10" t="str">
        <x:v>Next Review</x:v>
      </x:c>
      <x:c r="I4" s="10" t="str">
        <x:v>Supersedes</x:v>
      </x:c>
      <x:c r="J4" s="10" t="str">
        <x:v>Linked IDs</x:v>
      </x:c>
      <x:c r="K4" s="10" t="str">
        <x:v>Boundary</x:v>
      </x:c>
    </x:row>
    <x:row r="5">
      <x:c r="A5" s="16" t="str">
        <x:v>DOC-AIMS-001</x:v>
      </x:c>
      <x:c r="B5" s="16" t="str">
        <x:v>Enterprise AI Governance Charter</x:v>
      </x:c>
      <x:c r="C5" s="16" t="str">
        <x:v>06-governance-operating-model/Duckworks_Enterprise_AI_Governance_Charter_v1.0.md</x:v>
      </x:c>
      <x:c r="D5" s="16" t="str">
        <x:v>Markdown</x:v>
      </x:c>
      <x:c r="E5" s="16" t="str">
        <x:v>Reginald Duckman - CRCO</x:v>
      </x:c>
      <x:c r="F5" s="16" t="str">
        <x:v>Approved within synthetic exercise</x:v>
      </x:c>
      <x:c r="G5" s="18" t="n">
        <x:v>46243</x:v>
      </x:c>
      <x:c r="H5" s="18" t="n">
        <x:v>46608</x:v>
      </x:c>
      <x:c r="I5" s="16" t="str">
        <x:v>None</x:v>
      </x:c>
      <x:c r="J5" s="16" t="str">
        <x:v>M01; M03</x:v>
      </x:c>
      <x:c r="K5" s="16" t="str">
        <x:v>Portfolio approval is not corporate adoption</x:v>
      </x:c>
    </x:row>
    <x:row r="6">
      <x:c r="A6" s="16" t="str">
        <x:v>DOC-AIMS-002</x:v>
      </x:c>
      <x:c r="B6" s="16" t="str">
        <x:v>AI Governance Lifecycle SOP</x:v>
      </x:c>
      <x:c r="C6" s="16" t="str">
        <x:v>06-governance-operating-model/Duckworks_AI_Governance_Lifecycle_SOP_v1.0.md</x:v>
      </x:c>
      <x:c r="D6" s="16" t="str">
        <x:v>Markdown</x:v>
      </x:c>
      <x:c r="E6" s="16" t="str">
        <x:v>Eleanor Duckford - AI Governance Lead</x:v>
      </x:c>
      <x:c r="F6" s="16" t="str">
        <x:v>Approved within synthetic exercise</x:v>
      </x:c>
      <x:c r="G6" s="18" t="n">
        <x:v>46243</x:v>
      </x:c>
      <x:c r="H6" s="18" t="n">
        <x:v>46608</x:v>
      </x:c>
      <x:c r="I6" s="16" t="str">
        <x:v>None</x:v>
      </x:c>
      <x:c r="J6" s="16" t="str">
        <x:v>M11; M15</x:v>
      </x:c>
      <x:c r="K6" s="16" t="str">
        <x:v>Workflow design does not prove enforcement</x:v>
      </x:c>
    </x:row>
    <x:row r="7">
      <x:c r="A7" s="16" t="str">
        <x:v>DOC-AIMS-003</x:v>
      </x:c>
      <x:c r="B7" s="16" t="str">
        <x:v>AI Governance RACI</x:v>
      </x:c>
      <x:c r="C7" s="16" t="str">
        <x:v>06-governance-operating-model/Duckworks_AI_RACI_Chart_v1.0.xlsx</x:v>
      </x:c>
      <x:c r="D7" s="16" t="str">
        <x:v>XLSX</x:v>
      </x:c>
      <x:c r="E7" s="16" t="str">
        <x:v>Eleanor Duckford - AI Governance Lead</x:v>
      </x:c>
      <x:c r="F7" s="16" t="str">
        <x:v>Portfolio baseline</x:v>
      </x:c>
      <x:c r="G7" s="18" t="n">
        <x:v>46243</x:v>
      </x:c>
      <x:c r="H7" s="18" t="n">
        <x:v>46608</x:v>
      </x:c>
      <x:c r="I7" s="16" t="str">
        <x:v>None</x:v>
      </x:c>
      <x:c r="J7" s="16" t="str">
        <x:v>M03; M09</x:v>
      </x:c>
      <x:c r="K7" s="16" t="str">
        <x:v>Assignment does not prove acceptance or competence</x:v>
      </x:c>
    </x:row>
    <x:row r="8">
      <x:c r="A8" s="16" t="str">
        <x:v>DOC-AIMS-004</x:v>
      </x:c>
      <x:c r="B8" s="16" t="str">
        <x:v>AI Risk Methodology</x:v>
      </x:c>
      <x:c r="C8" s="16" t="str">
        <x:v>04-risk-assessment/Duckworks_AI_Risk_Classification_Assessment_Methodology_v1.0.md</x:v>
      </x:c>
      <x:c r="D8" s="16" t="str">
        <x:v>Markdown</x:v>
      </x:c>
      <x:c r="E8" s="16" t="str">
        <x:v>Reginald Duckman - CRCO</x:v>
      </x:c>
      <x:c r="F8" s="16" t="str">
        <x:v>Portfolio baseline</x:v>
      </x:c>
      <x:c r="G8" s="18" t="n">
        <x:v>46244</x:v>
      </x:c>
      <x:c r="H8" s="18" t="n">
        <x:v>46609</x:v>
      </x:c>
      <x:c r="I8" s="16" t="str">
        <x:v>None</x:v>
      </x:c>
      <x:c r="J8" s="16" t="str">
        <x:v>M04; M05</x:v>
      </x:c>
      <x:c r="K8" s="16" t="str">
        <x:v>Methodology does not validate ratings</x:v>
      </x:c>
    </x:row>
    <x:row r="9">
      <x:c r="A9" s="16" t="str">
        <x:v>DOC-AIMS-005</x:v>
      </x:c>
      <x:c r="B9" s="16" t="str">
        <x:v>AI Risk Scenarios</x:v>
      </x:c>
      <x:c r="C9" s="16" t="str">
        <x:v>04-risk-assessment/Duckworks_AI_Risk_Scenarios_v1.3.md</x:v>
      </x:c>
      <x:c r="D9" s="16" t="str">
        <x:v>Markdown</x:v>
      </x:c>
      <x:c r="E9" s="16" t="str">
        <x:v>Reginald Duckman - CRCO</x:v>
      </x:c>
      <x:c r="F9" s="16" t="str">
        <x:v>Current canonical release</x:v>
      </x:c>
      <x:c r="G9" s="18" t="n">
        <x:v>46273</x:v>
      </x:c>
      <x:c r="H9" s="18" t="n">
        <x:v>46364</x:v>
      </x:c>
      <x:c r="I9" s="16" t="str">
        <x:v>Risk Scenarios v1.2</x:v>
      </x:c>
      <x:c r="J9" s="16" t="str">
        <x:v>M05; risks</x:v>
      </x:c>
      <x:c r="K9" s="16" t="str">
        <x:v>Ratings retain evidence limitations</x:v>
      </x:c>
    </x:row>
    <x:row r="10">
      <x:c r="A10" s="16" t="str">
        <x:v>DOC-AIMS-006</x:v>
      </x:c>
      <x:c r="B10" s="16" t="str">
        <x:v>AI Control Framework</x:v>
      </x:c>
      <x:c r="C10" s="16" t="str">
        <x:v>07-control-framework/Duckworks_AI_Control_Framework_Report_v1.3.md</x:v>
      </x:c>
      <x:c r="D10" s="16" t="str">
        <x:v>Markdown</x:v>
      </x:c>
      <x:c r="E10" s="16" t="str">
        <x:v>Eleanor Duckford - AI Governance Lead</x:v>
      </x:c>
      <x:c r="F10" s="16" t="str">
        <x:v>Current canonical release</x:v>
      </x:c>
      <x:c r="G10" s="18" t="n">
        <x:v>46273</x:v>
      </x:c>
      <x:c r="H10" s="18" t="n">
        <x:v>46364</x:v>
      </x:c>
      <x:c r="I10" s="16" t="str">
        <x:v>Control Framework v1.2</x:v>
      </x:c>
      <x:c r="J10" s="16" t="str">
        <x:v>M07; controls</x:v>
      </x:c>
      <x:c r="K10" s="16" t="str">
        <x:v>Status does not prove production effectiveness</x:v>
      </x:c>
    </x:row>
    <x:row r="11">
      <x:c r="A11" s="16" t="str">
        <x:v>DOC-AIMS-007</x:v>
      </x:c>
      <x:c r="B11" s="16" t="str">
        <x:v>Control Evidence Index</x:v>
      </x:c>
      <x:c r="C11" s="16" t="str">
        <x:v>80-operating-evidence/Duckworks_AI_Control_Evidence_Index_v1.4.md</x:v>
      </x:c>
      <x:c r="D11" s="16" t="str">
        <x:v>Markdown</x:v>
      </x:c>
      <x:c r="E11" s="16" t="str">
        <x:v>Eleanor Duckford - AI Governance Lead</x:v>
      </x:c>
      <x:c r="F11" s="16" t="str">
        <x:v>Current canonical release</x:v>
      </x:c>
      <x:c r="G11" s="18" t="n">
        <x:v>46273</x:v>
      </x:c>
      <x:c r="H11" s="18" t="n">
        <x:v>46303</x:v>
      </x:c>
      <x:c r="I11" s="16" t="str">
        <x:v>Evidence Index v1.3</x:v>
      </x:c>
      <x:c r="J11" s="16" t="str">
        <x:v>M10; evidence</x:v>
      </x:c>
      <x:c r="K11" s="16" t="str">
        <x:v>Index metadata does not validate evidence</x:v>
      </x:c>
    </x:row>
    <x:row r="12">
      <x:c r="A12" s="16" t="str">
        <x:v>DOC-AIMS-008</x:v>
      </x:c>
      <x:c r="B12" s="16" t="str">
        <x:v>AIMS Evidence Baseline</x:v>
      </x:c>
      <x:c r="C12" s="16" t="str">
        <x:v>11-assurance-testing-and-evaluation/03-iso42001/duckworks-iso42001-evidence-baseline-v1.4.md</x:v>
      </x:c>
      <x:c r="D12" s="16" t="str">
        <x:v>Markdown</x:v>
      </x:c>
      <x:c r="E12" s="16" t="str">
        <x:v>Eleanor Duckford - AI Governance Lead</x:v>
      </x:c>
      <x:c r="F12" s="16" t="str">
        <x:v>Current portfolio assessment</x:v>
      </x:c>
      <x:c r="G12" s="18" t="n">
        <x:v>46273</x:v>
      </x:c>
      <x:c r="H12" s="18" t="n">
        <x:v>46364</x:v>
      </x:c>
      <x:c r="I12" s="16" t="str">
        <x:v>AIMS Baseline v1.3</x:v>
      </x:c>
      <x:c r="J12" s="16" t="str">
        <x:v>M01-M18</x:v>
      </x:c>
      <x:c r="K12" s="16" t="str">
        <x:v>Thematic assessment is not certification</x:v>
      </x:c>
    </x:row>
    <x:row r="13">
      <x:c r="A13" s="16" t="str">
        <x:v>DOC-AIMS-009</x:v>
      </x:c>
      <x:c r="B13" s="16" t="str">
        <x:v>AIMS Master Crosswalk</x:v>
      </x:c>
      <x:c r="C13" s="16" t="str">
        <x:v>11-assurance-testing-and-evaluation/03-iso42001/Duckworks_AIMS_Master_Crosswalk_v1.3.xlsx</x:v>
      </x:c>
      <x:c r="D13" s="16" t="str">
        <x:v>XLSX</x:v>
      </x:c>
      <x:c r="E13" s="16" t="str">
        <x:v>Eleanor Duckford - AI Governance Lead</x:v>
      </x:c>
      <x:c r="F13" s="16" t="str">
        <x:v>Current canonical release</x:v>
      </x:c>
      <x:c r="G13" s="18" t="n">
        <x:v>46273</x:v>
      </x:c>
      <x:c r="H13" s="18" t="n">
        <x:v>46303</x:v>
      </x:c>
      <x:c r="I13" s="16" t="str">
        <x:v>Crosswalk v1.2</x:v>
      </x:c>
      <x:c r="J13" s="16" t="str">
        <x:v>M01-M18</x:v>
      </x:c>
      <x:c r="K13" s="16" t="str">
        <x:v>Local M identifiers are not ISO clauses</x:v>
      </x:c>
    </x:row>
    <x:row r="14">
      <x:c r="A14" s="16" t="str">
        <x:v>DOC-AIMS-010</x:v>
      </x:c>
      <x:c r="B14" s="16" t="str">
        <x:v>AIMS Objectives and Performance Register</x:v>
      </x:c>
      <x:c r="C14" s="16" t="str">
        <x:v>06-governance-operating-model/01-aims-objectives-and-support/Duckworks_AIMS_Objectives_and_Performance_Register_v1.0.xlsx</x:v>
      </x:c>
      <x:c r="D14" s="16" t="str">
        <x:v>XLSX</x:v>
      </x:c>
      <x:c r="E14" s="16" t="str">
        <x:v>Eleanor Duckford - AI Governance Lead</x:v>
      </x:c>
      <x:c r="F14" s="16" t="str">
        <x:v>Approved within synthetic exercise</x:v>
      </x:c>
      <x:c r="G14" s="18" t="n">
        <x:v>46273</x:v>
      </x:c>
      <x:c r="H14" s="18" t="n">
        <x:v>46303</x:v>
      </x:c>
      <x:c r="I14" s="16" t="str">
        <x:v>None</x:v>
      </x:c>
      <x:c r="J14" s="16" t="str">
        <x:v>M08; M14</x:v>
      </x:c>
      <x:c r="K14" s="16" t="str">
        <x:v>Synthetic snapshot is not live telemetry</x:v>
      </x:c>
    </x:row>
    <x:row r="15">
      <x:c r="A15" s="16" t="str">
        <x:v>DOC-AIMS-011</x:v>
      </x:c>
      <x:c r="B15" s="16" t="str">
        <x:v>AIMS Objectives Standard</x:v>
      </x:c>
      <x:c r="C15" s="16" t="str">
        <x:v>06-governance-operating-model/01-aims-objectives-and-support/Duckworks_AIMS_Objectives_and_Performance_Standard_v1.0.md</x:v>
      </x:c>
      <x:c r="D15" s="16" t="str">
        <x:v>Markdown</x:v>
      </x:c>
      <x:c r="E15" s="16" t="str">
        <x:v>Eleanor Duckford - AI Governance Lead</x:v>
      </x:c>
      <x:c r="F15" s="16" t="str">
        <x:v>Approved within synthetic exercise</x:v>
      </x:c>
      <x:c r="G15" s="18" t="n">
        <x:v>46273</x:v>
      </x:c>
      <x:c r="H15" s="18" t="n">
        <x:v>46638</x:v>
      </x:c>
      <x:c r="I15" s="16" t="str">
        <x:v>None</x:v>
      </x:c>
      <x:c r="J15" s="16" t="str">
        <x:v>M08; M14</x:v>
      </x:c>
      <x:c r="K15" s="16" t="str">
        <x:v>Targets are portfolio design choices</x:v>
      </x:c>
    </x:row>
    <x:row r="16">
      <x:c r="A16" s="16" t="str">
        <x:v>DOC-AIMS-012</x:v>
      </x:c>
      <x:c r="B16" s="16" t="str">
        <x:v>AIMS Competence Standard</x:v>
      </x:c>
      <x:c r="C16" s="16" t="str">
        <x:v>06-governance-operating-model/01-aims-objectives-and-support/Duckworks_AIMS_Competence_Authorization_Standard_v1.0.md</x:v>
      </x:c>
      <x:c r="D16" s="16" t="str">
        <x:v>Markdown</x:v>
      </x:c>
      <x:c r="E16" s="16" t="str">
        <x:v>Beatrice Van Duck - Chief People Officer</x:v>
      </x:c>
      <x:c r="F16" s="16" t="str">
        <x:v>Approved within synthetic exercise</x:v>
      </x:c>
      <x:c r="G16" s="18" t="n">
        <x:v>46273</x:v>
      </x:c>
      <x:c r="H16" s="18" t="n">
        <x:v>46638</x:v>
      </x:c>
      <x:c r="I16" s="16" t="str">
        <x:v>None</x:v>
      </x:c>
      <x:c r="J16" s="16" t="str">
        <x:v>M09</x:v>
      </x:c>
      <x:c r="K16" s="16" t="str">
        <x:v>Records do not prove workforce competence</x:v>
      </x:c>
    </x:row>
    <x:row r="17">
      <x:c r="A17" s="16" t="str">
        <x:v>DOC-AIMS-013</x:v>
      </x:c>
      <x:c r="B17" s="16" t="str">
        <x:v>AIMS Document Control Standard</x:v>
      </x:c>
      <x:c r="C17" s="16" t="str">
        <x:v>06-governance-operating-model/01-aims-objectives-and-support/Duckworks_AIMS_Document_and_Evidence_Control_Standard_v1.0.md</x:v>
      </x:c>
      <x:c r="D17" s="16" t="str">
        <x:v>Markdown</x:v>
      </x:c>
      <x:c r="E17" s="16" t="str">
        <x:v>Eleanor Duckford - AI Governance Lead</x:v>
      </x:c>
      <x:c r="F17" s="16" t="str">
        <x:v>Approved within synthetic exercise</x:v>
      </x:c>
      <x:c r="G17" s="18" t="n">
        <x:v>46273</x:v>
      </x:c>
      <x:c r="H17" s="18" t="n">
        <x:v>46638</x:v>
      </x:c>
      <x:c r="I17" s="16" t="str">
        <x:v>None</x:v>
      </x:c>
      <x:c r="J17" s="16" t="str">
        <x:v>M10; AI-GOV-03</x:v>
      </x:c>
      <x:c r="K17" s="16" t="str">
        <x:v>Retention rule requires legal validation</x:v>
      </x:c>
    </x:row>
    <x:row r="18">
      <x:c r="A18" s="16" t="str">
        <x:v>DOC-AIMS-014</x:v>
      </x:c>
      <x:c r="B18" s="16" t="str">
        <x:v>Release Notes v1.4</x:v>
      </x:c>
      <x:c r="C18" s="16" t="str">
        <x:v>RELEASE_NOTES_v1.4.md</x:v>
      </x:c>
      <x:c r="D18" s="16" t="str">
        <x:v>Markdown</x:v>
      </x:c>
      <x:c r="E18" s="16" t="str">
        <x:v>Eleanor Duckford - AI Governance Lead</x:v>
      </x:c>
      <x:c r="F18" s="16" t="str">
        <x:v>Release record</x:v>
      </x:c>
      <x:c r="G18" s="18" t="n">
        <x:v>46273</x:v>
      </x:c>
      <x:c r="H18" s="18" t="n">
        <x:v>46638</x:v>
      </x:c>
      <x:c r="I18" s="16" t="str">
        <x:v>RELEASE_NOTES_v1.3.md</x:v>
      </x:c>
      <x:c r="J18" s="16" t="str">
        <x:v>v1.4</x:v>
      </x:c>
      <x:c r="K18" s="16" t="str">
        <x:v>Synthetic portfolio milestone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36" hidden="0" customWidth="1"/>
    <x:col min="5" max="5" width="36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0" customHeight="1">
      <x:c r="A1" s="2" t="str">
        <x:v>Executable Competence Gate Results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AIMS-COMP-GATE-2026-001 | 3/3 expected results met | automation grants zero authorizations</x:v>
      </x:c>
      <x:c r="B2" s="5"/>
      <x:c r="C2" s="5"/>
      <x:c r="D2" s="5"/>
      <x:c r="E2" s="5"/>
      <x:c r="F2" s="5"/>
      <x:c r="G2" s="5"/>
      <x:c r="H2" s="5"/>
    </x:row>
    <x:row r="4">
      <x:c r="A4" s="10" t="str">
        <x:v>Record</x:v>
      </x:c>
      <x:c r="B4" s="10" t="str">
        <x:v>Activity</x:v>
      </x:c>
      <x:c r="C4" s="10" t="str">
        <x:v>Result</x:v>
      </x:c>
      <x:c r="D4" s="10" t="str">
        <x:v>Reasons</x:v>
      </x:c>
      <x:c r="E4" s="10" t="str">
        <x:v>Expected</x:v>
      </x:c>
      <x:c r="F4" s="10" t="str">
        <x:v>Expected Met</x:v>
      </x:c>
      <x:c r="G4" s="10" t="str">
        <x:v>Authorization Granted</x:v>
      </x:c>
      <x:c r="H4" s="10" t="str">
        <x:v>Evidence Boundary</x:v>
      </x:c>
    </x:row>
    <x:row r="5">
      <x:c r="A5" s="16" t="str">
        <x:v>COMP-001</x:v>
      </x:c>
      <x:c r="B5" s="16" t="str">
        <x:v>Coordinate lifecycle gate evidence packages</x:v>
      </x:c>
      <x:c r="C5" s="16" t="str">
        <x:v>ELIGIBLE_FOR_HUMAN_AUTHORIZATION</x:v>
      </x:c>
      <x:c r="D5" s="16" t="str">
        <x:v>None</x:v>
      </x:c>
      <x:c r="E5" s="16" t="str">
        <x:v>ELIGIBLE_FOR_HUMAN_AUTHORIZATION</x:v>
      </x:c>
      <x:c r="F5" s="16" t="str">
        <x:v>Yes</x:v>
      </x:c>
      <x:c r="G5" s="16" t="str">
        <x:v>No</x:v>
      </x:c>
      <x:c r="H5" s="16" t="str">
        <x:v>Synthetic portfolio execution</x:v>
      </x:c>
    </x:row>
    <x:row r="6">
      <x:c r="A6" s="16" t="str">
        <x:v>COMP-002</x:v>
      </x:c>
      <x:c r="B6" s="16" t="str">
        <x:v>Authorize WingInspect item release</x:v>
      </x:c>
      <x:c r="C6" s="16" t="str">
        <x:v>BLOCKED</x:v>
      </x:c>
      <x:c r="D6" s="16" t="str">
        <x:v>AUTHORIZATION_EXPIRED; REFRESHER_OVERDUE</x:v>
      </x:c>
      <x:c r="E6" s="16" t="str">
        <x:v>BLOCKED</x:v>
      </x:c>
      <x:c r="F6" s="16" t="str">
        <x:v>Yes</x:v>
      </x:c>
      <x:c r="G6" s="16" t="str">
        <x:v>No</x:v>
      </x:c>
      <x:c r="H6" s="16" t="str">
        <x:v>Synthetic portfolio execution</x:v>
      </x:c>
    </x:row>
    <x:row r="7">
      <x:c r="A7" s="16" t="str">
        <x:v>COMP-003</x:v>
      </x:c>
      <x:c r="B7" s="16" t="str">
        <x:v>Approve supplier due-diligence completion recommendation</x:v>
      </x:c>
      <x:c r="C7" s="16" t="str">
        <x:v>BLOCKED</x:v>
      </x:c>
      <x:c r="D7" s="16" t="str">
        <x:v>ASSESSMENT_BELOW_THRESHOLD</x:v>
      </x:c>
      <x:c r="E7" s="16" t="str">
        <x:v>BLOCKED</x:v>
      </x:c>
      <x:c r="F7" s="16" t="str">
        <x:v>Yes</x:v>
      </x:c>
      <x:c r="G7" s="16" t="str">
        <x:v>No</x:v>
      </x:c>
      <x:c r="H7" s="16" t="str">
        <x:v>Synthetic portfolio execution</x:v>
      </x:c>
    </x:row>
  </x:sheetData>
  <x:mergeCells>
    <x:mergeCell ref="A1:H1"/>
    <x:mergeCell ref="A2:H2"/>
  </x:mergeCells>
  <x:conditionalFormatting sqref="C5:C7">
    <x:cfRule type="containsText" dxfId="5" priority="1" operator="containsText" text="BLOCKED"/>
    <x:cfRule type="containsText" dxfId="6" priority="2" operator="containsText" text="ELIGIBL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2" t="str">
        <x:v>Read Me — AIMS Objectives and Support Register</x:v>
      </x:c>
      <x:c r="B1" s="2"/>
      <x:c r="C1" s="2"/>
      <x:c r="D1" s="2"/>
      <x:c r="E1" s="2"/>
      <x:c r="F1" s="2"/>
    </x:row>
    <x:row r="3">
      <x:c r="A3" s="10" t="str">
        <x:v>Purpose</x:v>
      </x:c>
      <x:c r="B3" s="16" t="str">
        <x:v>Provide an auditable synthetic demonstration of AIMS objectives, competence authorization and documented-information control.</x:v>
      </x:c>
    </x:row>
    <x:row r="4">
      <x:c r="A4" s="10" t="str">
        <x:v>As-of date</x:v>
      </x:c>
      <x:c r="B4" s="16" t="str">
        <x:v>2026-09-08</x:v>
      </x:c>
    </x:row>
    <x:row r="5">
      <x:c r="A5" s="10" t="str">
        <x:v>Repository release</x:v>
      </x:c>
      <x:c r="B5" s="16" t="str">
        <x:v>v1.4</x:v>
      </x:c>
    </x:row>
    <x:row r="6">
      <x:c r="A6" s="10" t="str">
        <x:v>Evidence IDs</x:v>
      </x:c>
      <x:c r="B6" s="16" t="str">
        <x:v>EV-AIMS-001 through EV-AIMS-008</x:v>
      </x:c>
    </x:row>
    <x:row r="7">
      <x:c r="A7" s="10" t="str">
        <x:v>Editable inputs</x:v>
      </x:c>
      <x:c r="B7" s="16" t="str">
        <x:v>Objective numerators/denominators/targets/dates; competence evidence fields; document metadata.</x:v>
      </x:c>
    </x:row>
    <x:row r="8">
      <x:c r="A8" s="10" t="str">
        <x:v>Calculated fields</x:v>
      </x:c>
      <x:c r="B8" s="16" t="str">
        <x:v>Objective rates/status and competence gate eligibility are formulas.</x:v>
      </x:c>
    </x:row>
    <x:row r="9">
      <x:c r="A9" s="10" t="str">
        <x:v>Human decision boundary</x:v>
      </x:c>
      <x:c r="B9" s="16" t="str">
        <x:v>Calculated eligibility cannot grant authority, accept risk or approve deployment.</x:v>
      </x:c>
    </x:row>
    <x:row r="10">
      <x:c r="A10" s="10" t="str">
        <x:v>ISO boundary</x:v>
      </x:c>
      <x:c r="B10" s="16" t="str">
        <x:v>M01-M18 are local themes. This workbook is not a clause-level conformity assessment or certification claim.</x:v>
      </x:c>
    </x:row>
    <x:row r="11">
      <x:c r="A11" s="10" t="str">
        <x:v>Production boundary</x:v>
      </x:c>
      <x:c r="B11" s="16" t="str">
        <x:v>All records are synthetic portfolio evidence unless explicitly stated otherwise.</x:v>
      </x:c>
    </x:row>
    <x:row r="12">
      <x:c r="A12" s="10" t="str">
        <x:v>Maintenance</x:v>
      </x:c>
      <x:c r="B12" s="16" t="str">
        <x:v>Update after material repository changes and before management review.</x:v>
      </x:c>
    </x:row>
  </x:sheetData>
  <x:mergeCells>
    <x:mergeCell ref="A1:F1"/>
  </x:mergeCells>
  <x:pageMargins left="0.7" right="0.7" top="0.75" bottom="0.75" header="0.3" footer="0.3"/>
</x:worksheet>
</file>