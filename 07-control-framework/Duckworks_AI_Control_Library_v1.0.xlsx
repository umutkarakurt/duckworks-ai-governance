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443dcbfe878b419b" /></Relationships>
</file>

<file path=xl/workbook.xml><?xml version="1.0" encoding="utf-8"?>
<x:workbook xmlns:x="http://schemas.openxmlformats.org/spreadsheetml/2006/main">
  <x:sheets>
    <x:sheet xmlns:r="http://schemas.openxmlformats.org/officeDocument/2006/relationships" name="README" sheetId="1" r:id="R0dcc7ef570d445e4"/>
    <x:sheet xmlns:r="http://schemas.openxmlformats.org/officeDocument/2006/relationships" name="Control Library" sheetId="2" r:id="Rbe5fd5d3cfe049c9"/>
    <x:sheet xmlns:r="http://schemas.openxmlformats.org/officeDocument/2006/relationships" name="Risk Coverage" sheetId="3" r:id="R8630747b7c284f02"/>
    <x:sheet xmlns:r="http://schemas.openxmlformats.org/officeDocument/2006/relationships" name="Framework Sources" sheetId="4" r:id="Rc3512739e97d4017"/>
    <x:sheet xmlns:r="http://schemas.openxmlformats.org/officeDocument/2006/relationships" name="Status Legend" sheetId="5" r:id="Ra57144043d4a4138"/>
    <x:sheet xmlns:r="http://schemas.openxmlformats.org/officeDocument/2006/relationships" name="Dashboard" sheetId="6" r:id="R9426415c37864df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203040"/>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7324D"/>
      </x:patternFill>
    </x:fill>
    <x:fill>
      <x:patternFill patternType="solid">
        <x:fgColor rgb="FFEAF1F7"/>
      </x:patternFill>
    </x:fill>
    <x:fill>
      <x:patternFill patternType="solid">
        <x:fgColor rgb="FF2D6F73"/>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4" fillId="3" borderId="0" xfId="0" applyNumberFormat="1" applyFont="1" applyFill="1" applyBorder="1"/>
    <x:xf numFmtId="0" fontId="4" fillId="3" borderId="1" xfId="0" applyNumberFormat="1" applyFont="1" applyFill="1" applyBorder="1"/>
  </x:cellXfs>
  <x:cellStyles count="1">
    <x:cellStyle name="Normal" xfId="0"/>
  </x:cellStyles>
  <x:dxfs count="17">
    <x:dxf>
      <x:fill>
        <x:patternFill patternType="solid">
          <x:bgColor rgb="FFEAF1F7"/>
        </x:patternFill>
      </x:fill>
    </x:dxf>
    <x:dxf>
      <x:fill>
        <x:patternFill patternType="solid">
          <x:bgColor rgb="FFFFF2CC"/>
        </x:patternFill>
      </x:fill>
    </x:dxf>
    <x:dxf>
      <x:fill>
        <x:patternFill patternType="solid">
          <x:bgColor rgb="FFFCE5CD"/>
        </x:patternFill>
      </x:fill>
    </x:dxf>
    <x:dxf>
      <x:fill>
        <x:patternFill patternType="solid">
          <x:bgColor rgb="FFD9EAD3"/>
        </x:patternFill>
      </x:fill>
    </x:dxf>
    <x:dxf>
      <x:fill>
        <x:patternFill patternType="solid">
          <x:bgColor rgb="FFFFF2CC"/>
        </x:patternFill>
      </x:fill>
    </x:dxf>
    <x:dxf>
      <x:fill>
        <x:patternFill patternType="solid">
          <x:bgColor rgb="FFEAF1F7"/>
        </x:patternFill>
      </x:fill>
    </x:dxf>
    <x:dxf>
      <x:fill>
        <x:patternFill patternType="solid">
          <x:bgColor rgb="FFF4CCCC"/>
        </x:patternFill>
      </x:fill>
    </x:dxf>
    <x:dxf>
      <x:fill>
        <x:patternFill patternType="solid">
          <x:bgColor rgb="FFFCE5CD"/>
        </x:patternFill>
      </x:fill>
    </x:dxf>
    <x:dxf>
      <x:fill>
        <x:patternFill patternType="solid">
          <x:bgColor rgb="FFF4CCCC"/>
        </x:patternFill>
      </x:fill>
    </x:dxf>
    <x:dxf>
      <x:fill>
        <x:patternFill patternType="solid">
          <x:bgColor rgb="FFFCE5CD"/>
        </x:patternFill>
      </x:fill>
    </x:dxf>
    <x:dxf>
      <x:fill>
        <x:patternFill patternType="solid">
          <x:bgColor rgb="FFFFF2CC"/>
        </x:patternFill>
      </x:fill>
    </x:dxf>
    <x:dxf>
      <x:fill>
        <x:patternFill patternType="solid">
          <x:bgColor rgb="FFD9EAD3"/>
        </x:patternFill>
      </x:fill>
    </x:dxf>
    <x:dxf>
      <x:fill>
        <x:patternFill patternType="solid">
          <x:bgColor rgb="FFD9EAD3"/>
        </x:patternFill>
      </x:fill>
    </x:dxf>
    <x:dxf>
      <x:fill>
        <x:patternFill patternType="solid">
          <x:bgColor rgb="FFFFF2CC"/>
        </x:patternFill>
      </x:fill>
    </x:dxf>
    <x:dxf>
      <x:fill>
        <x:patternFill patternType="solid">
          <x:bgColor rgb="FFEAF1F7"/>
        </x:patternFill>
      </x:fill>
    </x:dxf>
    <x:dxf>
      <x:fill>
        <x:patternFill patternType="solid">
          <x:bgColor rgb="FFF4CCCC"/>
        </x:patternFill>
      </x:fill>
    </x:dxf>
    <x:dxf>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4478286df64a19" /><Relationship Type="http://schemas.openxmlformats.org/officeDocument/2006/relationships/theme" Target="/xl/theme/theme1.xml" Id="R0cee2596ef994adc" /><Relationship Type="http://schemas.openxmlformats.org/officeDocument/2006/relationships/sharedStrings" Target="/xl/sharedStrings.xml" Id="R8f35d1301ab2451d" /><Relationship Type="http://schemas.openxmlformats.org/officeDocument/2006/relationships/worksheet" Target="/xl/worksheets/sheet1.xml" Id="R0dcc7ef570d445e4" /><Relationship Type="http://schemas.openxmlformats.org/officeDocument/2006/relationships/worksheet" Target="/xl/worksheets/sheet2.xml" Id="Rbe5fd5d3cfe049c9" /><Relationship Type="http://schemas.openxmlformats.org/officeDocument/2006/relationships/worksheet" Target="/xl/worksheets/sheet3.xml" Id="R8630747b7c284f02" /><Relationship Type="http://schemas.openxmlformats.org/officeDocument/2006/relationships/worksheet" Target="/xl/worksheets/sheet4.xml" Id="Rc3512739e97d4017" /><Relationship Type="http://schemas.openxmlformats.org/officeDocument/2006/relationships/worksheet" Target="/xl/worksheets/sheet5.xml" Id="Ra57144043d4a4138" /><Relationship Type="http://schemas.openxmlformats.org/officeDocument/2006/relationships/worksheet" Target="/xl/worksheets/sheet6.xml" Id="R9426415c37864d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ed1534b57ee48a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Controls by Implementation Status</a:t>
            </a:r>
          </a:p>
        </c:rich>
      </c:tx>
    </c:title>
    <c:plotArea>
      <c:barChart>
        <c:barDir val="col"/>
        <c:varyColors val="0"/>
        <c:ser>
          <c:idx val="0"/>
          <c:order val="0"/>
          <c:tx>
            <c:v>Count</c:v>
          </c:tx>
          <c:cat>
            <c:strRef>
              <c:f>'Dashboard'!$D$4:$D$8</c:f>
              <c:strCache>
                <c:ptCount val="0"/>
              </c:strCache>
            </c:strRef>
          </c:cat>
          <c:val>
            <c:numRef>
              <c:f>'Dashboard'!$E$4:$E$8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d1534b57ee48a1"/>
        </a:graphicData>
      </a:graphic>
    </xdr:graphicFrame>
    <xdr:clientData/>
  </xdr:twoCellAnchor>
</xdr:wsDr>
</file>

<file path=xl/tables/table1.xml><?xml version="1.0" encoding="utf-8"?>
<x:table xmlns:x="http://schemas.openxmlformats.org/spreadsheetml/2006/main" id="1" name="AIControlLibraryTable" displayName="AIControlLibraryTable" ref="A1:O46" headerRowCount="1" totalsRowCount="0" totalsRowShown="0">
  <x:tableColumns count="15">
    <x:tableColumn id="1" name="Control ID"/>
    <x:tableColumn id="2" name="Control Domain"/>
    <x:tableColumn id="3" name="System(s)"/>
    <x:tableColumn id="4" name="Control Name"/>
    <x:tableColumn id="5" name="Control Objective"/>
    <x:tableColumn id="6" name="Control Description"/>
    <x:tableColumn id="7" name="Classification"/>
    <x:tableColumn id="8" name="Owner"/>
    <x:tableColumn id="9" name="Frequency"/>
    <x:tableColumn id="10" name="Evidence"/>
    <x:tableColumn id="11" name="Testing Procedure"/>
    <x:tableColumn id="12" name="Automation Opportunity"/>
    <x:tableColumn id="13" name="Related Risks"/>
    <x:tableColumn id="14" name="Relevant Framework Mapping"/>
    <x:tableColumn id="15" name="Implementation Status"/>
  </x:tableColumns>
  <x:tableStyleInfo name="TableStyleMedium2" showFirstColumn="0" showLastColumn="0" showRowStripes="1" showColumnStripes="0"/>
</x:table>
</file>

<file path=xl/tables/table2.xml><?xml version="1.0" encoding="utf-8"?>
<x:table xmlns:x="http://schemas.openxmlformats.org/spreadsheetml/2006/main" id="2" name="RiskCoverageTable" displayName="RiskCoverageTable" ref="A1:K22" headerRowCount="1" totalsRowCount="0" totalsRowShown="0">
  <x:tableColumns count="11">
    <x:tableColumn id="1" name="Risk ID"/>
    <x:tableColumn id="2" name="AI ID"/>
    <x:tableColumn id="3" name="System"/>
    <x:tableColumn id="4" name="Risk Domain"/>
    <x:tableColumn id="5" name="Material Risk Scenario"/>
    <x:tableColumn id="6" name="Current Residual"/>
    <x:tableColumn id="7" name="Current Gate"/>
    <x:tableColumn id="8" name="Mapped Control IDs"/>
    <x:tableColumn id="9" name="Control Count"/>
    <x:tableColumn id="10" name="Coverage Assessment"/>
    <x:tableColumn id="11" name="Implementation Observ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cf01590e824e39" /></Relationships>
</file>

<file path=xl/worksheets/_rels/sheet3.xml.rels>&#65279;<?xml version="1.0" encoding="utf-8"?><Relationships xmlns="http://schemas.openxmlformats.org/package/2006/relationships"><Relationship Type="http://schemas.openxmlformats.org/officeDocument/2006/relationships/table" Target="/xl/tables/table2.xml" Id="Rc531716b6f2e4df5" /></Relationships>
</file>

<file path=xl/worksheets/_rels/sheet6.xml.rels>&#65279;<?xml version="1.0" encoding="utf-8"?><Relationships xmlns="http://schemas.openxmlformats.org/package/2006/relationships"><Relationship Type="http://schemas.openxmlformats.org/officeDocument/2006/relationships/drawing" Target="/xl/drawings/drawing1.xml" Id="R1b0e0df46df24b72" /></Relationships>
</file>

<file path=xl/worksheets/sheet1.xml><?xml version="1.0" encoding="utf-8"?>
<x:worksheet xmlns:x="http://schemas.openxmlformats.org/spreadsheetml/2006/main">
  <x:sheetFormatPr defaultRowHeight="15"/>
  <x:cols>
    <x:col min="1" max="1" width="25" hidden="0" customWidth="1"/>
    <x:col min="2" max="2" width="95" hidden="0" customWidth="1"/>
  </x:cols>
  <x:sheetData>
    <x:row r="1" ht="30" customHeight="1">
      <x:c r="A1" s="4" t="str">
        <x:v>DUCKWORKS | PROJECT W.I.N.G. | AI CONTROL LIBRARY</x:v>
      </x:c>
      <x:c r="B1" s="16" t="str"/>
    </x:row>
    <x:row r="2" ht="38" customHeight="1">
      <x:c r="A2" s="10" t="str">
        <x:v>Document ID</x:v>
      </x:c>
      <x:c r="B2" s="14" t="str">
        <x:v>DW-WING-CTRL-01</x:v>
      </x:c>
    </x:row>
    <x:row r="3" ht="38" customHeight="1">
      <x:c r="A3" s="10" t="str">
        <x:v>Version</x:v>
      </x:c>
      <x:c r="B3" s="14" t="str">
        <x:v>1.0</x:v>
      </x:c>
    </x:row>
    <x:row r="4" ht="38" customHeight="1">
      <x:c r="A4" s="10" t="str">
        <x:v>Status</x:v>
      </x:c>
      <x:c r="B4" s="14" t="str">
        <x:v>Portfolio Baseline - Proposed Control Library</x:v>
      </x:c>
    </x:row>
    <x:row r="5" ht="38" customHeight="1">
      <x:c r="A5" s="10" t="str">
        <x:v>Organization</x:v>
      </x:c>
      <x:c r="B5" s="14" t="str">
        <x:v>Duckworks (fictional)</x:v>
      </x:c>
    </x:row>
    <x:row r="6" ht="38" customHeight="1">
      <x:c r="A6" s="10" t="str">
        <x:v>Scope</x:v>
      </x:c>
      <x:c r="B6" s="14" t="str">
        <x:v>21 material risk scenarios across AI-001 through AI-007</x:v>
      </x:c>
    </x:row>
    <x:row r="7" ht="38" customHeight="1">
      <x:c r="A7" s="10" t="str">
        <x:v>Purpose</x:v>
      </x:c>
      <x:c r="B7" s="14" t="str">
        <x:v>Translate assessed material risks into auditable AI governance, technical, human, data, supplier, monitoring and corrective controls.</x:v>
      </x:c>
    </x:row>
    <x:row r="8" ht="38" customHeight="1">
      <x:c r="A8" s="10" t="str">
        <x:v>Evidence rule</x:v>
      </x:c>
      <x:c r="B8" s="14" t="str">
        <x:v>A control is not treated as implemented merely because it appears in this library. Planned controls receive no current residual-risk credit; implementation claims require current operating evidence.</x:v>
      </x:c>
    </x:row>
    <x:row r="9" ht="38" customHeight="1">
      <x:c r="A9" s="10" t="str">
        <x:v>Framework mapping boundary</x:v>
      </x:c>
      <x:c r="B9" s="14" t="str">
        <x:v>Framework mappings are design crosswalks only. They do not establish legal compliance, EU AI Act conformity, GDPR compliance, ISO certification, or any other legal/certification conclusion.</x:v>
      </x:c>
    </x:row>
    <x:row r="10" ht="38" customHeight="1">
      <x:c r="A10" s="10" t="str">
        <x:v>Legal boundary</x:v>
      </x:c>
      <x:c r="B10" s="14" t="str">
        <x:v>Mandatory legal applicability and obligations remain subject to separate system-specific legal analysis using current official text, organizational role, intended purpose, jurisdiction and implementation facts.</x:v>
      </x:c>
    </x:row>
    <x:row r="11" ht="38" customHeight="1">
      <x:c r="A11" s="10" t="str">
        <x:v>Independence rule</x:v>
      </x:c>
      <x:c r="B11" s="14" t="str">
        <x:v>Internal Audit is not a control owner. It may independently test design and operating effectiveness after sufficient operating history.</x:v>
      </x:c>
    </x:row>
    <x:row r="12" ht="38" customHeight="1">
      <x:c r="A12" s="10" t="str">
        <x:v>Portfolio disclaimer</x:v>
      </x:c>
      <x:c r="B12" s="14" t="str">
        <x:v>All organizations, people, systems, data, risks, controls and evidence are fictional or synthetic and created solely for educational/professional portfolio use.</x:v>
      </x:c>
    </x:row>
    <x:row r="13" ht="38" customHeight="1">
      <x:c r="A13" s="10" t="str">
        <x:v>Source basis</x:v>
      </x:c>
      <x:c r="B13" s="14" t="str">
        <x:v>Duckworks AI Risk Scenario Register v1.0; AI System Inventory - Risk Assessed; AI Risk Methodology v1.0; Stakeholder Register; Acceptance Criteria; Public Frameworks/Legislation register.</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9" hidden="0" customWidth="1"/>
    <x:col min="3" max="3" width="24" hidden="0" customWidth="1"/>
    <x:col min="4" max="4" width="31" hidden="0" customWidth="1"/>
    <x:col min="5" max="5" width="42" hidden="0" customWidth="1"/>
    <x:col min="6" max="6" width="58" hidden="0" customWidth="1"/>
    <x:col min="7" max="7" width="13" hidden="0" customWidth="1"/>
    <x:col min="8" max="8" width="34" hidden="0" customWidth="1"/>
    <x:col min="9" max="9" width="32" hidden="0" customWidth="1"/>
    <x:col min="10" max="10" width="48" hidden="0" customWidth="1"/>
    <x:col min="11" max="11" width="58" hidden="0" customWidth="1"/>
    <x:col min="12" max="12" width="45" hidden="0" customWidth="1"/>
    <x:col min="13" max="13" width="31" hidden="0" customWidth="1"/>
    <x:col min="14" max="14" width="60" hidden="0" customWidth="1"/>
    <x:col min="15" max="15" width="42" hidden="0" customWidth="1"/>
    <x:col min="16" max="16" width="48" hidden="0" customWidth="1"/>
  </x:cols>
  <x:sheetData>
    <x:row r="1">
      <x:c r="A1" s="25" t="str">
        <x:v>Control ID</x:v>
      </x:c>
      <x:c r="B1" s="25" t="str">
        <x:v>Control Domain</x:v>
      </x:c>
      <x:c r="C1" s="25" t="str">
        <x:v>System(s)</x:v>
      </x:c>
      <x:c r="D1" s="25" t="str">
        <x:v>Control Name</x:v>
      </x:c>
      <x:c r="E1" s="25" t="str">
        <x:v>Control Objective</x:v>
      </x:c>
      <x:c r="F1" s="25" t="str">
        <x:v>Control Description</x:v>
      </x:c>
      <x:c r="G1" s="25" t="str">
        <x:v>Classification</x:v>
      </x:c>
      <x:c r="H1" s="25" t="str">
        <x:v>Owner</x:v>
      </x:c>
      <x:c r="I1" s="25" t="str">
        <x:v>Frequency</x:v>
      </x:c>
      <x:c r="J1" s="25" t="str">
        <x:v>Evidence</x:v>
      </x:c>
      <x:c r="K1" s="25" t="str">
        <x:v>Testing Procedure</x:v>
      </x:c>
      <x:c r="L1" s="25" t="str">
        <x:v>Automation Opportunity</x:v>
      </x:c>
      <x:c r="M1" s="25" t="str">
        <x:v>Related Risks</x:v>
      </x:c>
      <x:c r="N1" s="25" t="str">
        <x:v>Relevant Framework Mapping</x:v>
      </x:c>
      <x:c r="O1" s="25" t="str">
        <x:v>Implementation Status</x:v>
      </x:c>
      <x:c r="P1" s="20" t="str">
        <x:v>Status Basis / Evidence Note</x:v>
      </x:c>
    </x:row>
    <x:row r="2">
      <x:c r="A2" s="26" t="str">
        <x:v>AI-GOV-01</x:v>
      </x:c>
      <x:c r="B2" s="26" t="str">
        <x:v>Governance</x:v>
      </x:c>
      <x:c r="C2" s="26" t="str">
        <x:v>Portfolio-wide</x:v>
      </x:c>
      <x:c r="D2" s="26" t="str">
        <x:v>Risk-Based Lifecycle Gate</x:v>
      </x:c>
      <x:c r="E2" s="26" t="str">
        <x:v>Prevent material AI use from moving beyond its approved lifecycle boundary without an evidence-based decision.</x:v>
      </x:c>
      <x:c r="F2" s="26" t="str">
        <x:v>QuackTrack must record lifecycle state, current residual risk, blocking actions and the approving authority before pilot expansion or production release. High/Critical matters follow committee/executive escalation; target-state controls cannot be substituted for current evidence.</x:v>
      </x:c>
      <x:c r="G2" s="26" t="str">
        <x:v>Preventive</x:v>
      </x:c>
      <x:c r="H2" s="26" t="str">
        <x:v>Eleanor Duckford - AI Governance Lead</x:v>
      </x:c>
      <x:c r="I2" s="26" t="str">
        <x:v>At every lifecycle gate and material scope expansion</x:v>
      </x:c>
      <x:c r="J2" s="26" t="str">
        <x:v>Release pack; QuackTrack approval record; blocking-action closure evidence; committee minutes/decision record</x:v>
      </x:c>
      <x:c r="K2" s="26" t="str">
        <x:v>Select a sample of releases and verify the approved configuration, current risk, required specialist sign-offs and approval preceded activation. Trace any exception to expiry and compensating controls.</x:v>
      </x:c>
      <x:c r="L2" s="26" t="str">
        <x:v>Workflow gate in GRC/QuackTrack; mandatory fields; release pipeline check that blocks production without an approved decision</x:v>
      </x:c>
      <x:c r="M2" s="26" t="str">
        <x:v>AI-001-R01; AI-002-R01; AI-002-R03; AI-004-R01; AI-005-R01; AI-005-R02; AI-007-R02</x:v>
      </x:c>
      <x:c r="N2" s="26" t="str">
        <x:v>NIST AI RMF: GOVERN / MANAGE; ISO/IEC 42001: governance, roles, lifecycle and continual improvement; ISO/IEC 23894: risk treatment and monitoring</x:v>
      </x:c>
      <x:c r="O2" s="26" t="str">
        <x:v>Partially Implemented</x:v>
      </x:c>
      <x:c r="P2" s="14" t="str">
        <x:v>Partially implemented - lifecycle gates exist; evidence workflow is still maturing</x:v>
      </x:c>
    </x:row>
    <x:row r="3">
      <x:c r="A3" s="26" t="str">
        <x:v>AI-GOV-02</x:v>
      </x:c>
      <x:c r="B3" s="26" t="str">
        <x:v>Governance</x:v>
      </x:c>
      <x:c r="C3" s="26" t="str">
        <x:v>Portfolio-wide</x:v>
      </x:c>
      <x:c r="D3" s="26" t="str">
        <x:v>Material Change &amp; Reassessment Trigger</x:v>
      </x:c>
      <x:c r="E3" s="26" t="str">
        <x:v>Ensure material changes do not invalidate prior risk, impact, safety, privacy or security conclusions.</x:v>
      </x:c>
      <x:c r="F3" s="26" t="str">
        <x:v>Changes to intended purpose, model/provider/version, data, connectors, permissions, affected population, autonomy or safety context are classified for materiality and trigger proportionate reassessment and re-approval.</x:v>
      </x:c>
      <x:c r="G3" s="26" t="str">
        <x:v>Preventive</x:v>
      </x:c>
      <x:c r="H3" s="26" t="str">
        <x:v>Eleanor Duckford - AI Governance Lead</x:v>
      </x:c>
      <x:c r="I3" s="26" t="str">
        <x:v>On every material change; quarterly change-log reconciliation</x:v>
      </x:c>
      <x:c r="J3" s="26" t="str">
        <x:v>Change ticket; materiality decision; updated risk/AIA/security/privacy review; re-approval; version history</x:v>
      </x:c>
      <x:c r="K3" s="26" t="str">
        <x:v>Sample model, data, connector and configuration changes from technical logs and compare them to the governance change register. Confirm material changes had timely reassessment before use.</x:v>
      </x:c>
      <x:c r="L3" s="26" t="str">
        <x:v>CI/CD or MLOps webhook into governance workflow; version-diff rules; automated connector/model change alerts</x:v>
      </x:c>
      <x:c r="M3" s="26" t="str">
        <x:v>AI-001-R01; AI-001-R02; AI-001-R03; AI-003-R02; AI-004-R03</x:v>
      </x:c>
      <x:c r="N3" s="26" t="str">
        <x:v>NIST AI RMF: GOVERN / MANAGE; ISO/IEC 42001: governance, roles, lifecycle and continual improvement; ISO/IEC 23894: risk treatment and monitoring</x:v>
      </x:c>
      <x:c r="O3" s="26" t="str">
        <x:v>Partially Implemented</x:v>
      </x:c>
      <x:c r="P3" s="14" t="str">
        <x:v>Partially implemented - triggers are defined; automated enforcement not evidenced</x:v>
      </x:c>
    </x:row>
    <x:row r="4">
      <x:c r="A4" s="26" t="str">
        <x:v>AI-GOV-03</x:v>
      </x:c>
      <x:c r="B4" s="26" t="str">
        <x:v>Assurance &amp; evidence</x:v>
      </x:c>
      <x:c r="C4" s="26" t="str">
        <x:v>Portfolio-wide</x:v>
      </x:c>
      <x:c r="D4" s="26" t="str">
        <x:v>Control Evidence Index</x:v>
      </x:c>
      <x:c r="E4" s="26" t="str">
        <x:v>Maintain sufficient, current and traceable evidence for control design and operation.</x:v>
      </x:c>
      <x:c r="F4" s="26" t="str">
        <x:v>Each material control execution must produce or reference evidence using the AI ID, date, control ID, system/model version and outcome. Evidence gaps are tracked and prevent unsupported effectiveness claims.</x:v>
      </x:c>
      <x:c r="G4" s="26" t="str">
        <x:v>Detective</x:v>
      </x:c>
      <x:c r="H4" s="26" t="str">
        <x:v>Eleanor Duckford - AI Governance Lead</x:v>
      </x:c>
      <x:c r="I4" s="26" t="str">
        <x:v>At each control execution; quarterly completeness review</x:v>
      </x:c>
      <x:c r="J4" s="26" t="str">
        <x:v>Evidence index; repository links; evidence ageing report; exceptions; control-owner attestations</x:v>
      </x:c>
      <x:c r="K4" s="26" t="str">
        <x:v>For a sample of controls, trace the library entry to current evidence and back to the risk scenario and system version. Check for expired, missing or contradictory evidence.</x:v>
      </x:c>
      <x:c r="L4" s="26" t="str">
        <x:v>Evidence metadata ingestion; stale-evidence alerts; automated completeness dashboard</x:v>
      </x:c>
      <x:c r="M4" s="26" t="str">
        <x:v>AI-001-R01; AI-001-R02; AI-001-R03; AI-002-R01; AI-002-R02; AI-002-R03; AI-003-R01; AI-003-R02; AI-003-R03; AI-004-R01; AI-004-R02; AI-004-R03; AI-005-R01; AI-005-R02; AI-005-R03; AI-006-R01; AI-006-R02; AI-006-R03; AI-007-R01; AI-007-R02; AI-007-R03</x:v>
      </x:c>
      <x:c r="N4" s="26" t="str">
        <x:v>NIST AI RMF: GOVERN / MANAGE; ISO/IEC 42001: governance, roles, lifecycle and continual improvement; ISO/IEC 23894: risk treatment and monitoring</x:v>
      </x:c>
      <x:c r="O4" s="26" t="str">
        <x:v>Planned</x:v>
      </x:c>
      <x:c r="P4" s="14" t="str">
        <x:v>Planned - evidence repository/index is an open implementation priority</x:v>
      </x:c>
    </x:row>
    <x:row r="5">
      <x:c r="A5" s="26" t="str">
        <x:v>AI-TPR-01</x:v>
      </x:c>
      <x:c r="B5" s="26" t="str">
        <x:v>Third-party risk</x:v>
      </x:c>
      <x:c r="C5" s="26" t="str">
        <x:v>Third-party AI systems and services</x:v>
      </x:c>
      <x:c r="D5" s="26" t="str">
        <x:v>AI Supplier Due Diligence &amp; Contract Controls</x:v>
      </x:c>
      <x:c r="E5" s="26" t="str">
        <x:v>Reduce AI supplier risks involving security, data use, confidentiality, subcontractors, change, incidents and exit.</x:v>
      </x:c>
      <x:c r="F5" s="26" t="str">
        <x:v>Before onboarding or renewing a material AI supplier, Duckworks performs proportionate AI-specific due diligence and records contractual requirements for data use/training, confidentiality, security, subprocessors, material change notification, incident notice, evidence rights and exit/portability.</x:v>
      </x:c>
      <x:c r="G5" s="26" t="str">
        <x:v>Preventive</x:v>
      </x:c>
      <x:c r="H5" s="26" t="str">
        <x:v>Percival Duckworth - Director Procurement &amp; Vendor Assurance</x:v>
      </x:c>
      <x:c r="I5" s="26" t="str">
        <x:v>Before onboarding/renewal and on material supplier/model change</x:v>
      </x:c>
      <x:c r="J5" s="26" t="str">
        <x:v>Completed due-diligence questionnaire; security/privacy/legal review; signed contract/DPA where applicable; change notices; exit plan</x:v>
      </x:c>
      <x:c r="K5" s="26" t="str">
        <x:v>Sample material AI suppliers and verify due diligence preceded approval, required clauses exist, open findings have owners, and supplier/model changes triggered reassessment.</x:v>
      </x:c>
      <x:c r="L5" s="26" t="str">
        <x:v>Procurement workflow integration; contract-clause library; vendor evidence expiry alerts; automated supplier inventory reconciliation</x:v>
      </x:c>
      <x:c r="M5" s="26" t="str">
        <x:v>AI-001-R02; AI-002-R02; AI-005-R01; AI-005-R03; AI-006-R01; AI-007-R03</x:v>
      </x:c>
      <x:c r="N5" s="26" t="str">
        <x:v>NIST AI RMF: GOVERN / MAP / MANAGE; ISO/IEC 42001: external-provider and lifecycle governance; ISO/IEC 27001: supplier security; ISO/IEC 23894: third-party risk treatment</x:v>
      </x:c>
      <x:c r="O5" s="26" t="str">
        <x:v>Partially Implemented</x:v>
      </x:c>
      <x:c r="P5" s="14" t="str">
        <x:v>Partially implemented - templates exist; system-specific operating evidence is incomplete</x:v>
      </x:c>
    </x:row>
    <x:row r="6">
      <x:c r="A6" s="26" t="str">
        <x:v>AI-INC-01</x:v>
      </x:c>
      <x:c r="B6" s="26" t="str">
        <x:v>Incident management</x:v>
      </x:c>
      <x:c r="C6" s="26" t="str">
        <x:v>Portfolio-wide</x:v>
      </x:c>
      <x:c r="D6" s="26" t="str">
        <x:v>AI Incident, Containment &amp; Stop-Use</x:v>
      </x:c>
      <x:c r="E6" s="26" t="str">
        <x:v>Limit harm when an AI control fails, unsafe behavior appears, or sensitive information may have been exposed.</x:v>
      </x:c>
      <x:c r="F6" s="26" t="str">
        <x:v>Material AI incidents, near misses, rights concerns, prompt attacks, data leakage, safety failures or loss of human authority trigger triage, evidence preservation, containment, safe fallback, stakeholder escalation, root-cause analysis and reassessment before restart.</x:v>
      </x:c>
      <x:c r="G6" s="26" t="str">
        <x:v>Corrective</x:v>
      </x:c>
      <x:c r="H6" s="26" t="str">
        <x:v>Cassandra Duckley - Chief Information Security Officer</x:v>
      </x:c>
      <x:c r="I6" s="26" t="str">
        <x:v>Event-driven; semiannual tabletop exercise for material AI</x:v>
      </x:c>
      <x:c r="J6" s="26" t="str">
        <x:v>Incident record; preserved prompts/inputs/outputs/logs; containment ticket; fallback record; root-cause analysis; restart approval</x:v>
      </x:c>
      <x:c r="K6" s="26" t="str">
        <x:v>Run a tabletop or sample closed incidents. Verify trigger recognition, evidence preservation, response times, safe fallback, required specialist involvement and formal restart decision.</x:v>
      </x:c>
      <x:c r="L6" s="26" t="str">
        <x:v>SIEM/SOAR alert routing; automated case creation; log preservation; kill switch / feature flag where technically feasible</x:v>
      </x:c>
      <x:c r="M6" s="26" t="str">
        <x:v>AI-001-R01; AI-001-R02; AI-002-R02; AI-003-R03; AI-004-R01; AI-005-R03; AI-006-R01; AI-006-R02; AI-007-R01</x:v>
      </x:c>
      <x:c r="N6" s="26" t="str">
        <x:v>NIST AI RMF: GOVERN / MANAGE; ISO/IEC 42001: governance, roles, lifecycle and continual improvement; ISO/IEC 23894: risk treatment and monitoring; NIST AI RMF: MEASURE / MANAGE; ISO/IEC 27001: access control, logging, incident management and secure development; ENISA AI cybersecurity guidance</x:v>
      </x:c>
      <x:c r="O6" s="26" t="str">
        <x:v>Partially Implemented</x:v>
      </x:c>
      <x:c r="P6" s="14" t="str">
        <x:v>Partially implemented - AI runbooks exist; sustained operating evidence is not yet established</x:v>
      </x:c>
    </x:row>
    <x:row r="7">
      <x:c r="A7" s="26" t="str">
        <x:v>DD-01</x:v>
      </x:c>
      <x:c r="B7" s="26" t="str">
        <x:v>Human oversight</x:v>
      </x:c>
      <x:c r="C7" s="26" t="str">
        <x:v>AI-001 DuckDesign AI</x:v>
      </x:c>
      <x:c r="D7" s="26" t="str">
        <x:v>Competent Engineer Approval</x:v>
      </x:c>
      <x:c r="E7" s="26" t="str">
        <x:v>Prevent unverified AI engineering output from becoming an authoritative design decision.</x:v>
      </x:c>
      <x:c r="F7" s="26" t="str">
        <x:v>A competent engineer must independently review relevant AI recommendations, validate assumptions and record approval before a design can enter prototyping or production. AI cannot authorize production design.</x:v>
      </x:c>
      <x:c r="G7" s="26" t="str">
        <x:v>Preventive</x:v>
      </x:c>
      <x:c r="H7" s="26" t="str">
        <x:v>Felix Duckson - VP Product &amp; Engineering</x:v>
      </x:c>
      <x:c r="I7" s="26" t="str">
        <x:v>Every AI-assisted design before prototyping or production</x:v>
      </x:c>
      <x:c r="J7" s="26" t="str">
        <x:v>Design review record; named reviewer; rationale; rejected/overridden AI outputs; sign-off tied to design/version</x:v>
      </x:c>
      <x:c r="K7" s="26" t="str">
        <x:v>Sample AI-assisted designs and confirm competent review occurred before downstream release. Reperform selected checks and verify AI output did not bypass the reviewer.</x:v>
      </x:c>
      <x:c r="L7" s="26" t="str">
        <x:v>PLM/CAD workflow approval gate; mandatory reviewer fields; automated capture of AI-assisted design provenance</x:v>
      </x:c>
      <x:c r="M7" s="26" t="str">
        <x:v>AI-001-R01; AI-001-R03</x:v>
      </x:c>
      <x:c r="N7" s="26" t="str">
        <x:v>NIST AI RMF: GOVERN / MAP / MANAGE; ISO/IEC 42001: roles, competence and lifecycle governance; ISO/IEC 42005: human and stakeholder impacts; ISO/IEC 23894: risk treatment</x:v>
      </x:c>
      <x:c r="O7" s="26" t="str">
        <x:v>Implemented</x:v>
      </x:c>
      <x:c r="P7" s="14" t="str">
        <x:v>Implemented - baseline credited; operating evidence still requires validation</x:v>
      </x:c>
    </x:row>
    <x:row r="8">
      <x:c r="A8" s="26" t="str">
        <x:v>DD-02</x:v>
      </x:c>
      <x:c r="B8" s="26" t="str">
        <x:v>Safety &amp; validation</x:v>
      </x:c>
      <x:c r="C8" s="26" t="str">
        <x:v>AI-001 DuckDesign AI</x:v>
      </x:c>
      <x:c r="D8" s="26" t="str">
        <x:v>Independent Safety Validation Gate</x:v>
      </x:c>
      <x:c r="E8" s="26" t="str">
        <x:v>Prevent unsafe AI-supported designs from progressing when safety-relevant claims are not independently validated.</x:v>
      </x:c>
      <x:c r="F8" s="26" t="str">
        <x:v>Define safety-critical output categories and objective validation criteria. Require simulation/test evidence and independent Product Safety/Quality challenge before release of safety-relevant designs.</x:v>
      </x:c>
      <x:c r="G8" s="26" t="str">
        <x:v>Preventive</x:v>
      </x:c>
      <x:c r="H8" s="26" t="str">
        <x:v>Quentin Duckwell - Director Product Safety &amp; Quality</x:v>
      </x:c>
      <x:c r="I8" s="26" t="str">
        <x:v>Each safety-relevant release and after material design/model change</x:v>
      </x:c>
      <x:c r="J8" s="26" t="str">
        <x:v>Validation plan; test results; safety review; independent sign-off; failed-test disposition; release condition record</x:v>
      </x:c>
      <x:c r="K8" s="26" t="str">
        <x:v>Select safety-relevant designs, verify acceptance criteria were pre-defined, test evidence matches the released version and failed criteria blocked release.</x:v>
      </x:c>
      <x:c r="L8" s="26" t="str">
        <x:v>Automated safety-test pipelines; digital sign-off gate; threshold-based release blocking</x:v>
      </x:c>
      <x:c r="M8" s="26" t="str">
        <x:v>AI-001-R01</x:v>
      </x:c>
      <x:c r="N8" s="26" t="str">
        <x:v>NIST AI RMF: GOVERN / MAP / MANAGE; ISO/IEC 42001: roles, competence and lifecycle governance; ISO/IEC 42005: human and stakeholder impacts; ISO/IEC 23894: risk treatment; NIST AI RMF: MAP / MEASURE / MANAGE; ISO/IEC 23894: risk analysis, treatment and monitoring</x:v>
      </x:c>
      <x:c r="O8" s="26" t="str">
        <x:v>Planned</x:v>
      </x:c>
      <x:c r="P8" s="14" t="str">
        <x:v>Planned - target treatment and production gate</x:v>
      </x:c>
    </x:row>
    <x:row r="9">
      <x:c r="A9" s="26" t="str">
        <x:v>DD-03</x:v>
      </x:c>
      <x:c r="B9" s="26" t="str">
        <x:v>Model validation</x:v>
      </x:c>
      <x:c r="C9" s="26" t="str">
        <x:v>AI-001 DuckDesign AI</x:v>
      </x:c>
      <x:c r="D9" s="26" t="str">
        <x:v>Engineering Benchmark &amp; Regression Suite</x:v>
      </x:c>
      <x:c r="E9" s="26" t="str">
        <x:v>Detect degradation and recurring technical failure modes in AI-generated engineering recommendations.</x:v>
      </x:c>
      <x:c r="F9" s="26" t="str">
        <x:v>Maintain a versioned benchmark set covering known material/specification failure modes, unsafe recommendations and grounded-source expectations. Execute regression testing before model/service changes and periodically during pilot.</x:v>
      </x:c>
      <x:c r="G9" s="26" t="str">
        <x:v>Detective</x:v>
      </x:c>
      <x:c r="H9" s="26" t="str">
        <x:v>Dr. Ada Duckfield - Head of Data &amp; AI</x:v>
      </x:c>
      <x:c r="I9" s="26" t="str">
        <x:v>Before each model/service version change; quarterly during pilot</x:v>
      </x:c>
      <x:c r="J9" s="26" t="str">
        <x:v>Versioned benchmark set; expected outcomes; test run logs; failure analysis; remediation and approval</x:v>
      </x:c>
      <x:c r="K9" s="26" t="str">
        <x:v>Reperform a sample of benchmark cases, verify coverage of known failure modes and confirm unexplained regressions were escalated and blocked where required.</x:v>
      </x:c>
      <x:c r="L9" s="26" t="str">
        <x:v>Automated CI regression suite against model endpoints; quality trend dashboard; failure alerts</x:v>
      </x:c>
      <x:c r="M9" s="26" t="str">
        <x:v>AI-001-R01; AI-001-R03</x:v>
      </x:c>
      <x:c r="N9" s="26" t="str">
        <x:v>NIST AI RMF: MAP / MEASURE / MANAGE; ISO/IEC 23894: risk analysis, treatment and monitoring; NIST AI 600-1 GenAI Profile</x:v>
      </x:c>
      <x:c r="O9" s="26" t="str">
        <x:v>Planned</x:v>
      </x:c>
      <x:c r="P9" s="14" t="str">
        <x:v>Planned - target treatment</x:v>
      </x:c>
    </x:row>
    <x:row r="10">
      <x:c r="A10" s="26" t="str">
        <x:v>DD-04</x:v>
      </x:c>
      <x:c r="B10" s="26" t="str">
        <x:v>Data security</x:v>
      </x:c>
      <x:c r="C10" s="26" t="str">
        <x:v>AI-001 DuckDesign AI</x:v>
      </x:c>
      <x:c r="D10" s="26" t="str">
        <x:v>Engineering Data Boundary &amp; DLP</x:v>
      </x:c>
      <x:c r="E10" s="26" t="str">
        <x:v>Prevent confidential CAD, specifications and engineering IP from leaving approved processing boundaries or being reused by providers.</x:v>
      </x:c>
      <x:c r="F10" s="26" t="str">
        <x:v>Enforce approved data scope, tenant isolation, least privilege and DLP for uploads/prompts. Require evidence that provider data-use/training terms match Duckworks restrictions before confidential engineering content is enabled.</x:v>
      </x:c>
      <x:c r="G10" s="26" t="str">
        <x:v>Preventive</x:v>
      </x:c>
      <x:c r="H10" s="26" t="str">
        <x:v>Cassandra Duckley - Chief Information Security Officer</x:v>
      </x:c>
      <x:c r="I10" s="26" t="str">
        <x:v>Continuous enforcement; quarterly access/DLP review; supplier review on renewal/change</x:v>
      </x:c>
      <x:c r="J10" s="26" t="str">
        <x:v>Access-control configuration; DLP policy; blocked-event logs; tenant configuration; supplier data-use evidence; exception records</x:v>
      </x:c>
      <x:c r="K10" s="26" t="str">
        <x:v>Test with synthetic confidential-marked files and unauthorized accounts. Verify DLP blocks or alerts, access rules deny prohibited scope and supplier terms/evidence remain current.</x:v>
      </x:c>
      <x:c r="L10" s="26" t="str">
        <x:v>DLP/SSE policy; classification-aware upload controls; automated entitlement reviews; vendor evidence expiry alerts</x:v>
      </x:c>
      <x:c r="M10" s="26" t="str">
        <x:v>AI-001-R02</x:v>
      </x:c>
      <x:c r="N10" s="26" t="str">
        <x:v>NIST AI RMF: GOVERN / MANAGE; ISO/IEC 42001: data and lifecycle governance; ISO/IEC 27001: access control, information protection and logging; ISO/IEC 23894: risk treatment; NIST AI RMF: GOVERN / MAP / MANAGE; ISO/IEC 42001: external-provider and lifecycle governance; ISO/IEC 27001: supplier security; ISO/IEC 23894: third-party risk treatment</x:v>
      </x:c>
      <x:c r="O10" s="26" t="str">
        <x:v>Partially Implemented</x:v>
      </x:c>
      <x:c r="P10" s="14" t="str">
        <x:v>Partially implemented - access/data scope credited; DLP and vendor evidence are target enhancements</x:v>
      </x:c>
    </x:row>
    <x:row r="11">
      <x:c r="A11" s="26" t="str">
        <x:v>DD-05</x:v>
      </x:c>
      <x:c r="B11" s="26" t="str">
        <x:v>Change &amp; traceability</x:v>
      </x:c>
      <x:c r="C11" s="26" t="str">
        <x:v>AI-001 DuckDesign AI</x:v>
      </x:c>
      <x:c r="D11" s="26" t="str">
        <x:v>Design/Model Version Traceability</x:v>
      </x:c>
      <x:c r="E11" s="26" t="str">
        <x:v>Ensure the AI version, source evidence and human decision used for a design remain reconstructable.</x:v>
      </x:c>
      <x:c r="F11" s="26" t="str">
        <x:v>Record model/service version, key configuration, source references, AI output, engineer disposition and downstream design version. Material model/configuration changes require revalidation before reuse.</x:v>
      </x:c>
      <x:c r="G11" s="26" t="str">
        <x:v>Preventive</x:v>
      </x:c>
      <x:c r="H11" s="26" t="str">
        <x:v>Dr. Ada Duckfield - Head of Data &amp; AI</x:v>
      </x:c>
      <x:c r="I11" s="26" t="str">
        <x:v>Every material model/configuration change and each design release</x:v>
      </x:c>
      <x:c r="J11" s="26" t="str">
        <x:v>Version manifest; design lineage; configuration baseline; source references; change ticket; revalidation evidence</x:v>
      </x:c>
      <x:c r="K11" s="26" t="str">
        <x:v>Choose released designs and reconstruct which AI/model version and validation evidence supported them. Verify changed versions were not used before revalidation.</x:v>
      </x:c>
      <x:c r="L11" s="26" t="str">
        <x:v>MLOps/PLM metadata integration; automatic model/version stamping; immutable lineage log</x:v>
      </x:c>
      <x:c r="M11" s="26" t="str">
        <x:v>AI-001-R01; AI-001-R03</x:v>
      </x:c>
      <x:c r="N11" s="26" t="str">
        <x:v>NIST AI RMF: GOVERN / MANAGE; ISO/IEC 42001: governance, roles, lifecycle and continual improvement; ISO/IEC 23894: risk treatment and monitoring; NIST AI RMF: MAP / MEASURE / MANAGE; ISO/IEC 23894: risk analysis, treatment and monitoring</x:v>
      </x:c>
      <x:c r="O11" s="26" t="str">
        <x:v>Partially Implemented</x:v>
      </x:c>
      <x:c r="P11" s="14" t="str">
        <x:v>Partially implemented - change control is cited; end-to-end traceability not fully validated</x:v>
      </x:c>
    </x:row>
    <x:row r="12">
      <x:c r="A12" s="26" t="str">
        <x:v>QB-01</x:v>
      </x:c>
      <x:c r="B12" s="26" t="str">
        <x:v>Knowledge governance</x:v>
      </x:c>
      <x:c r="C12" s="26" t="str">
        <x:v>AI-002 QuackBot</x:v>
      </x:c>
      <x:c r="D12" s="26" t="str">
        <x:v>Curated RAG Source Allowlist</x:v>
      </x:c>
      <x:c r="E12" s="26" t="str">
        <x:v>Limit QuackBot answers to approved, authoritative and maintained support content.</x:v>
      </x:c>
      <x:c r="F12" s="26" t="str">
        <x:v>Only approved product, troubleshooting and warranty sources may enter the production retrieval corpus. Knowledge owners approve additions, remove obsolete content and maintain provenance.</x:v>
      </x:c>
      <x:c r="G12" s="26" t="str">
        <x:v>Preventive</x:v>
      </x:c>
      <x:c r="H12" s="26" t="str">
        <x:v>Clara Duckley - Director Customer Operations</x:v>
      </x:c>
      <x:c r="I12" s="26" t="str">
        <x:v>Continuous enforcement; monthly knowledge-base review; on content release</x:v>
      </x:c>
      <x:c r="J12" s="26" t="str">
        <x:v>Source manifest; owner approvals; content versions; removal history; provenance metadata</x:v>
      </x:c>
      <x:c r="K12" s="26" t="str">
        <x:v>Sample retrieved sources and verify they appear on the approved manifest, are current and owned. Attempt retrieval from a non-approved source and confirm exclusion.</x:v>
      </x:c>
      <x:c r="L12" s="26" t="str">
        <x:v>Repository-to-index synchronization; provenance tagging; stale-content alerts; allowlist enforcement</x:v>
      </x:c>
      <x:c r="M12" s="26" t="str">
        <x:v>AI-002-R01; AI-002-R03</x:v>
      </x:c>
      <x:c r="N12" s="26" t="str">
        <x:v>NIST AI RMF: GOVERN / MANAGE; ISO/IEC 42001: data and lifecycle governance; ISO/IEC 27001: access control, information protection and logging; ISO/IEC 23894: risk treatment; NIST AI 600-1 GenAI Profile</x:v>
      </x:c>
      <x:c r="O12" s="26" t="str">
        <x:v>Partially Implemented</x:v>
      </x:c>
      <x:c r="P12" s="14" t="str">
        <x:v>Partially implemented - source allowlist is baseline credited; maintenance evidence remains to be proven</x:v>
      </x:c>
    </x:row>
    <x:row r="13">
      <x:c r="A13" s="26" t="str">
        <x:v>QB-02</x:v>
      </x:c>
      <x:c r="B13" s="26" t="str">
        <x:v>Response safety</x:v>
      </x:c>
      <x:c r="C13" s="26" t="str">
        <x:v>AI-002 QuackBot</x:v>
      </x:c>
      <x:c r="D13" s="26" t="str">
        <x:v>Grounding, Citation &amp; Abstention Rules</x:v>
      </x:c>
      <x:c r="E13" s="26" t="str">
        <x:v>Reduce unsupported or overconfident customer guidance, especially for safety-adjacent and regulated topics.</x:v>
      </x:c>
      <x:c r="F13" s="26" t="str">
        <x:v>Require grounded answers from approved sources, confidence/abstention behavior where evidence is insufficient, and constrained templates or escalation for high-impact topics. Unsupported claims must not be presented as authoritative Duckworks guidance.</x:v>
      </x:c>
      <x:c r="G13" s="26" t="str">
        <x:v>Preventive</x:v>
      </x:c>
      <x:c r="H13" s="26" t="str">
        <x:v>Dr. Ada Duckfield - Head of Data &amp; AI</x:v>
      </x:c>
      <x:c r="I13" s="26" t="str">
        <x:v>Every response by automated policy; validated before each release/model change</x:v>
      </x:c>
      <x:c r="J13" s="26" t="str">
        <x:v>System prompt/policy configuration; grounding/citation test results; abstention tests; high-impact topic rules; evaluation report</x:v>
      </x:c>
      <x:c r="K13" s="26" t="str">
        <x:v>Run a controlled test set containing answerable, ambiguous and out-of-scope questions. Verify citation/grounding, abstention and constrained-response behavior meet acceptance thresholds.</x:v>
      </x:c>
      <x:c r="L13" s="26" t="str">
        <x:v>Automated pre-release evaluation; response-grounding scorer; policy-as-code for high-impact topics</x:v>
      </x:c>
      <x:c r="M13" s="26" t="str">
        <x:v>AI-002-R01; AI-002-R03</x:v>
      </x:c>
      <x:c r="N13" s="26" t="str">
        <x:v>NIST AI RMF: MAP / MEASURE / MANAGE; ISO/IEC 23894: risk analysis, treatment and monitoring; NIST AI 600-1 GenAI Profile</x:v>
      </x:c>
      <x:c r="O13" s="26" t="str">
        <x:v>Planned</x:v>
      </x:c>
      <x:c r="P13" s="14" t="str">
        <x:v>Planned - target treatment / production gate</x:v>
      </x:c>
    </x:row>
    <x:row r="14">
      <x:c r="A14" s="26" t="str">
        <x:v>QB-03</x:v>
      </x:c>
      <x:c r="B14" s="26" t="str">
        <x:v>Human oversight</x:v>
      </x:c>
      <x:c r="C14" s="26" t="str">
        <x:v>AI-002 QuackBot</x:v>
      </x:c>
      <x:c r="D14" s="26" t="str">
        <x:v>Human Escalation SLA</x:v>
      </x:c>
      <x:c r="E14" s="26" t="str">
        <x:v>Ensure uncertain, sensitive, safety-related or out-of-scope interactions are transferred to accountable human support.</x:v>
      </x:c>
      <x:c r="F14" s="26" t="str">
        <x:v>Define explicit escalation triggers, transfer mechanism, service-level target and ownership. The chatbot must not continue improvising once a trigger is met.</x:v>
      </x:c>
      <x:c r="G14" s="26" t="str">
        <x:v>Corrective</x:v>
      </x:c>
      <x:c r="H14" s="26" t="str">
        <x:v>Clara Duckley - Director Customer Operations</x:v>
      </x:c>
      <x:c r="I14" s="26" t="str">
        <x:v>Every triggered interaction; monthly SLA and escape review</x:v>
      </x:c>
      <x:c r="J14" s="26" t="str">
        <x:v>Escalation rules; routed cases; timestamps; unresolved cases; sampled transcripts; SLA metrics</x:v>
      </x:c>
      <x:c r="K14" s="26" t="str">
        <x:v>Inject test conversations that meet each escalation trigger and verify correct routing. Sample real/synthetic routed cases for timeliness and that the bot ceased unsupported guidance.</x:v>
      </x:c>
      <x:c r="L14" s="26" t="str">
        <x:v>Intent/risk classifier; automated ticket creation; queue monitoring; SLA alerts</x:v>
      </x:c>
      <x:c r="M14" s="26" t="str">
        <x:v>AI-002-R01; AI-002-R03</x:v>
      </x:c>
      <x:c r="N14" s="26" t="str">
        <x:v>NIST AI RMF: GOVERN / MAP / MANAGE; ISO/IEC 42001: roles, competence and lifecycle governance; ISO/IEC 42005: human and stakeholder impacts; ISO/IEC 23894: risk treatment; NIST AI 600-1 GenAI Profile</x:v>
      </x:c>
      <x:c r="O14" s="26" t="str">
        <x:v>Partially Implemented</x:v>
      </x:c>
      <x:c r="P14" s="14" t="str">
        <x:v>Partially implemented - escalation rules are credited; SLA and operating evidence are incomplete</x:v>
      </x:c>
    </x:row>
    <x:row r="15">
      <x:c r="A15" s="26" t="str">
        <x:v>QB-04</x:v>
      </x:c>
      <x:c r="B15" s="26" t="str">
        <x:v>AI security testing</x:v>
      </x:c>
      <x:c r="C15" s="26" t="str">
        <x:v>AI-002 QuackBot</x:v>
      </x:c>
      <x:c r="D15" s="26" t="str">
        <x:v>Prompt Injection &amp; RAG Adversarial Testing</x:v>
      </x:c>
      <x:c r="E15" s="26" t="str">
        <x:v>Identify exploitable prompt injection, retrieval poisoning, data-exposure and unsafe-tool paths before customer release.</x:v>
      </x:c>
      <x:c r="F15" s="26" t="str">
        <x:v>Execute an adversarial test suite against direct prompts, poisoned knowledge, indirect injection, data exfiltration, tool misuse and safety-boundary bypass. Material failures block release until treated and regression-tested.</x:v>
      </x:c>
      <x:c r="G15" s="26" t="str">
        <x:v>Detective</x:v>
      </x:c>
      <x:c r="H15" s="26" t="str">
        <x:v>Cassandra Duckley - Chief Information Security Officer</x:v>
      </x:c>
      <x:c r="I15" s="26" t="str">
        <x:v>Before production; after material model/RAG/tool change; quarterly red-team regression</x:v>
      </x:c>
      <x:c r="J15" s="26" t="str">
        <x:v>Threat model; adversarial test plan; prompts/payloads; results; severity triage; remediation tickets; regression evidence</x:v>
      </x:c>
      <x:c r="K15" s="26" t="str">
        <x:v>Re-run a risk-based sample of attacks, confirm environment/version identity and verify high-severity findings were closed or formally blocked from release.</x:v>
      </x:c>
      <x:c r="L15" s="26" t="str">
        <x:v>Automated adversarial regression harness; security test pipeline; synthetic attack corpus</x:v>
      </x:c>
      <x:c r="M15" s="26" t="str">
        <x:v>AI-002-R02</x:v>
      </x:c>
      <x:c r="N15" s="26" t="str">
        <x:v>NIST AI RMF: MEASURE / MANAGE; NIST AI 600-1 GenAI Profile; ISO/IEC 27001: access control, data leakage prevention, logging and secure development; ENISA AI cybersecurity guidance; OWASP GenAI Security guidance</x:v>
      </x:c>
      <x:c r="O15" s="26" t="str">
        <x:v>Planned</x:v>
      </x:c>
      <x:c r="P15" s="14" t="str">
        <x:v>Planned - blocking pre-production test</x:v>
      </x:c>
    </x:row>
    <x:row r="16">
      <x:c r="A16" s="26" t="str">
        <x:v>QB-05</x:v>
      </x:c>
      <x:c r="B16" s="26" t="str">
        <x:v>Access control</x:v>
      </x:c>
      <x:c r="C16" s="26" t="str">
        <x:v>AI-002 QuackBot</x:v>
      </x:c>
      <x:c r="D16" s="26" t="str">
        <x:v>Least-Privilege Retrieval &amp; Tool Boundaries</x:v>
      </x:c>
      <x:c r="E16" s="26" t="str">
        <x:v>Prevent the chatbot from retrieving information or invoking actions beyond the customer's/user's authorized scope.</x:v>
      </x:c>
      <x:c r="F16" s="26" t="str">
        <x:v>Retrieval and tools are restricted to the minimum permissions required for the support use case. Sensitive internal repositories and high-impact actions remain unavailable unless separately approved.</x:v>
      </x:c>
      <x:c r="G16" s="26" t="str">
        <x:v>Preventive</x:v>
      </x:c>
      <x:c r="H16" s="26" t="str">
        <x:v>Cassandra Duckley - Chief Information Security Officer</x:v>
      </x:c>
      <x:c r="I16" s="26" t="str">
        <x:v>Continuous; quarterly entitlement review; on integration change</x:v>
      </x:c>
      <x:c r="J16" s="26" t="str">
        <x:v>Architecture; ACLs; service-account permissions; connector allowlist; access-review record; denied-access logs</x:v>
      </x:c>
      <x:c r="K16" s="26" t="str">
        <x:v>Use authorized and unauthorized test identities to verify retrieval and tool permissions. Review privileged service accounts and confirm no broad wildcard access.</x:v>
      </x:c>
      <x:c r="L16" s="26" t="str">
        <x:v>Identity-aware retrieval; policy engine; automated entitlement review; connector allowlist</x:v>
      </x:c>
      <x:c r="M16" s="26" t="str">
        <x:v>AI-002-R02</x:v>
      </x:c>
      <x:c r="N16" s="26" t="str">
        <x:v>NIST AI RMF: MEASURE / MANAGE; NIST AI 600-1 GenAI Profile; ISO/IEC 27001: access control, data leakage prevention, logging and secure development; ENISA AI cybersecurity guidance; OWASP GenAI Security guidance</x:v>
      </x:c>
      <x:c r="O16" s="26" t="str">
        <x:v>Partially Implemented</x:v>
      </x:c>
      <x:c r="P16" s="14" t="str">
        <x:v>Partially implemented - least-privilege retrieval design is baseline credited</x:v>
      </x:c>
    </x:row>
    <x:row r="17">
      <x:c r="A17" s="26" t="str">
        <x:v>QB-06</x:v>
      </x:c>
      <x:c r="B17" s="26" t="str">
        <x:v>Monitoring</x:v>
      </x:c>
      <x:c r="C17" s="26" t="str">
        <x:v>AI-002 QuackBot</x:v>
      </x:c>
      <x:c r="D17" s="26" t="str">
        <x:v>GenAI Security &amp; Harm Monitoring</x:v>
      </x:c>
      <x:c r="E17" s="26" t="str">
        <x:v>Detect prompt attacks, sensitive-data exposure, unsupported-answer spikes and harmful interaction patterns after release.</x:v>
      </x:c>
      <x:c r="F17" s="26" t="str">
        <x:v>Log prompts, retrieval events, policy decisions and security-relevant outputs within approved privacy boundaries. Alert on injection indicators, restricted retrieval, DLP hits, safety failures and abnormal unsupported-answer rates.</x:v>
      </x:c>
      <x:c r="G17" s="26" t="str">
        <x:v>Detective</x:v>
      </x:c>
      <x:c r="H17" s="26" t="str">
        <x:v>Cassandra Duckley - Chief Information Security Officer</x:v>
      </x:c>
      <x:c r="I17" s="26" t="str">
        <x:v>Continuous monitoring; daily security triage; monthly control review</x:v>
      </x:c>
      <x:c r="J17" s="26" t="str">
        <x:v>Security logs; alerts; DLP events; unsupported-answer metrics; complaint trend; investigations</x:v>
      </x:c>
      <x:c r="K17" s="26" t="str">
        <x:v>Generate synthetic attack and leakage indicators and confirm alerts, routing and evidence capture. Review a sample of alerts for disposition quality and timeliness.</x:v>
      </x:c>
      <x:c r="L17" s="26" t="str">
        <x:v>SIEM integration; prompt-attack detectors; DLP alerts; anomaly thresholds; automated case creation</x:v>
      </x:c>
      <x:c r="M17" s="26" t="str">
        <x:v>AI-002-R01; AI-002-R02</x:v>
      </x:c>
      <x:c r="N17" s="26" t="str">
        <x:v>NIST AI RMF: MEASURE / MANAGE; NIST AI 600-1 GenAI Profile; ISO/IEC 27001: access control, data leakage prevention, logging and secure development; ENISA AI cybersecurity guidance; OWASP GenAI Security guidance</x:v>
      </x:c>
      <x:c r="O17" s="26" t="str">
        <x:v>Planned</x:v>
      </x:c>
      <x:c r="P17" s="14" t="str">
        <x:v>Planned - production monitoring gate</x:v>
      </x:c>
    </x:row>
    <x:row r="18">
      <x:c r="A18" s="26" t="str">
        <x:v>FF-01</x:v>
      </x:c>
      <x:c r="B18" s="26" t="str">
        <x:v>Human oversight</x:v>
      </x:c>
      <x:c r="C18" s="26" t="str">
        <x:v>AI-003 FeatherForecast</x:v>
      </x:c>
      <x:c r="D18" s="26" t="str">
        <x:v>Human Planning Approval &amp; Override</x:v>
      </x:c>
      <x:c r="E18" s="26" t="str">
        <x:v>Prevent forecast outputs from automatically creating material procurement or production commitments.</x:v>
      </x:c>
      <x:c r="F18" s="26" t="str">
        <x:v>Authorized managers review material forecast-driven recommendations and retain final authority. Overrides are permitted and recorded; unattended auto-execution is outside the approved boundary.</x:v>
      </x:c>
      <x:c r="G18" s="26" t="str">
        <x:v>Preventive</x:v>
      </x:c>
      <x:c r="H18" s="26" t="str">
        <x:v>Tobias Duckman - Director Supply Chain</x:v>
      </x:c>
      <x:c r="I18" s="26" t="str">
        <x:v>Every material purchasing or production commitment</x:v>
      </x:c>
      <x:c r="J18" s="26" t="str">
        <x:v>Approval/override record; planning ticket; user authorization; exception rationale</x:v>
      </x:c>
      <x:c r="K18" s="26" t="str">
        <x:v>Sample material commitments and trace them to authorized human approval. Verify no direct model-to-order path exists and override capability remains functional.</x:v>
      </x:c>
      <x:c r="L18" s="26" t="str">
        <x:v>Workflow approval in ERP/planning platform; threshold-based approval routing</x:v>
      </x:c>
      <x:c r="M18" s="26" t="str">
        <x:v>AI-003-R01</x:v>
      </x:c>
      <x:c r="N18" s="26" t="str">
        <x:v>NIST AI RMF: GOVERN / MAP / MANAGE; ISO/IEC 42001: roles, competence and lifecycle governance; ISO/IEC 42005: human and stakeholder impacts; ISO/IEC 23894: risk treatment; NIST AI RMF: MEASURE / MANAGE; ISO/IEC 23894: AI risk monitoring and treatment; ISO 31000: enterprise risk management</x:v>
      </x:c>
      <x:c r="O18" s="26" t="str">
        <x:v>Implemented</x:v>
      </x:c>
      <x:c r="P18" s="14" t="str">
        <x:v>Implemented - baseline credited</x:v>
      </x:c>
    </x:row>
    <x:row r="19">
      <x:c r="A19" s="26" t="str">
        <x:v>FF-02</x:v>
      </x:c>
      <x:c r="B19" s="26" t="str">
        <x:v>Model validation</x:v>
      </x:c>
      <x:c r="C19" s="26" t="str">
        <x:v>AI-003 FeatherForecast</x:v>
      </x:c>
      <x:c r="D19" s="26" t="str">
        <x:v>Back-Testing, Stress Testing &amp; Challenger Review</x:v>
      </x:c>
      <x:c r="E19" s="26" t="str">
        <x:v>Detect material forecast error and weak performance outside typical operating conditions.</x:v>
      </x:c>
      <x:c r="F19" s="26" t="str">
        <x:v>Perform periodic back-testing against realized outcomes and stress/scenario testing for demand/supplier shocks. Use challenger methods or alternate forecasts to identify material divergence requiring review.</x:v>
      </x:c>
      <x:c r="G19" s="26" t="str">
        <x:v>Detective</x:v>
      </x:c>
      <x:c r="H19" s="26" t="str">
        <x:v>Dr. Ada Duckfield - Head of Data &amp; AI</x:v>
      </x:c>
      <x:c r="I19" s="26" t="str">
        <x:v>Quarterly and after material data/model/business-context change</x:v>
      </x:c>
      <x:c r="J19" s="26" t="str">
        <x:v>Back-test report; stress scenarios; forecast-error distribution; challenger comparison; management review</x:v>
      </x:c>
      <x:c r="K19" s="26" t="str">
        <x:v>Recalculate a sample of historical forecast metrics and verify predefined thresholds drive escalation/recalibration. Inspect challenger divergence handling.</x:v>
      </x:c>
      <x:c r="L19" s="26" t="str">
        <x:v>Scheduled evaluation jobs; automated metric computation; exception dashboard</x:v>
      </x:c>
      <x:c r="M19" s="26" t="str">
        <x:v>AI-003-R01; AI-003-R02</x:v>
      </x:c>
      <x:c r="N19" s="26" t="str">
        <x:v>NIST AI RMF: MEASURE / MANAGE; ISO/IEC 23894: AI risk monitoring and treatment; ISO 31000: enterprise risk management</x:v>
      </x:c>
      <x:c r="O19" s="26" t="str">
        <x:v>Partially Implemented</x:v>
      </x:c>
      <x:c r="P19" s="14" t="str">
        <x:v>Partially implemented - back-testing is credited; stress/challenger enhancement remains target treatment</x:v>
      </x:c>
    </x:row>
    <x:row r="20">
      <x:c r="A20" s="26" t="str">
        <x:v>FF-03</x:v>
      </x:c>
      <x:c r="B20" s="26" t="str">
        <x:v>Monitoring</x:v>
      </x:c>
      <x:c r="C20" s="26" t="str">
        <x:v>AI-003 FeatherForecast</x:v>
      </x:c>
      <x:c r="D20" s="26" t="str">
        <x:v>Automated Drift Alerts &amp; Retraining Trigger</x:v>
      </x:c>
      <x:c r="E20" s="26" t="str">
        <x:v>Detect distribution/performance drift before degraded forecasts persist through multiple planning cycles.</x:v>
      </x:c>
      <x:c r="F20" s="26" t="str">
        <x:v>Monitor forecast error, bias and key input-distribution indicators. Defined thresholds trigger investigation, recalibration/retraining, or temporary reliance reduction.</x:v>
      </x:c>
      <x:c r="G20" s="26" t="str">
        <x:v>Detective</x:v>
      </x:c>
      <x:c r="H20" s="26" t="str">
        <x:v>Dr. Ada Duckfield - Head of Data &amp; AI</x:v>
      </x:c>
      <x:c r="I20" s="26" t="str">
        <x:v>Continuous metric collection; monthly formal review</x:v>
      </x:c>
      <x:c r="J20" s="26" t="str">
        <x:v>Drift dashboard; alert history; threshold configuration; retraining/recalibration tickets; closure evidence</x:v>
      </x:c>
      <x:c r="K20" s="26" t="str">
        <x:v>Simulate or replay a threshold breach and confirm alert generation, ownership, triage and the documented decision on retraining or continued use.</x:v>
      </x:c>
      <x:c r="L20" s="26" t="str">
        <x:v>Automated drift detection; scheduled threshold checks; retraining workflow</x:v>
      </x:c>
      <x:c r="M20" s="26" t="str">
        <x:v>AI-003-R02</x:v>
      </x:c>
      <x:c r="N20" s="26" t="str">
        <x:v>NIST AI RMF: MEASURE / MANAGE; ISO/IEC 23894: AI risk monitoring and treatment; ISO 31000: enterprise risk management</x:v>
      </x:c>
      <x:c r="O20" s="26" t="str">
        <x:v>Planned</x:v>
      </x:c>
      <x:c r="P20" s="14" t="str">
        <x:v>Planned - target treatment</x:v>
      </x:c>
    </x:row>
    <x:row r="21">
      <x:c r="A21" s="26" t="str">
        <x:v>FF-04</x:v>
      </x:c>
      <x:c r="B21" s="26" t="str">
        <x:v>Data security</x:v>
      </x:c>
      <x:c r="C21" s="26" t="str">
        <x:v>AI-003 FeatherForecast</x:v>
      </x:c>
      <x:c r="D21" s="26" t="str">
        <x:v>Supplier/Planning Data Access &amp; Logging</x:v>
      </x:c>
      <x:c r="E21" s="26" t="str">
        <x:v>Prevent unauthorized disclosure or over-broad use of confidential supplier and planning data.</x:v>
      </x:c>
      <x:c r="F21" s="26" t="str">
        <x:v>Apply role-based access, least privilege, appropriate encryption, logging and data minimization to forecasting data and integrations. Review privileged access periodically.</x:v>
      </x:c>
      <x:c r="G21" s="26" t="str">
        <x:v>Preventive</x:v>
      </x:c>
      <x:c r="H21" s="26" t="str">
        <x:v>Tobias Duckman - Director Supply Chain</x:v>
      </x:c>
      <x:c r="I21" s="26" t="str">
        <x:v>Continuous; quarterly access review; on integration change</x:v>
      </x:c>
      <x:c r="J21" s="26" t="str">
        <x:v>RBAC matrix; access review; encryption configuration; audit logs; data-source inventory; exception list</x:v>
      </x:c>
      <x:c r="K21" s="26" t="str">
        <x:v>Sample user roles and verify least privilege; test denied access; inspect audit logging and confirm unnecessary supplier fields are excluded.</x:v>
      </x:c>
      <x:c r="L21" s="26" t="str">
        <x:v>IAM recertification; automated logging; data classification and minimization checks</x:v>
      </x:c>
      <x:c r="M21" s="26" t="str">
        <x:v>AI-003-R03</x:v>
      </x:c>
      <x:c r="N21" s="26" t="str">
        <x:v>NIST AI RMF: GOVERN / MANAGE; ISO/IEC 42001: data and lifecycle governance; ISO/IEC 27001: access control, information protection and logging; ISO/IEC 23894: risk treatment</x:v>
      </x:c>
      <x:c r="O21" s="26" t="str">
        <x:v>Partially Implemented</x:v>
      </x:c>
      <x:c r="P21" s="14" t="str">
        <x:v>Partially implemented - private cloud/RBAC credited; enhanced logging/minimization are target improvements</x:v>
      </x:c>
    </x:row>
    <x:row r="22">
      <x:c r="A22" s="26" t="str">
        <x:v>WI-01</x:v>
      </x:c>
      <x:c r="B22" s="26" t="str">
        <x:v>Human oversight</x:v>
      </x:c>
      <x:c r="C22" s="26" t="str">
        <x:v>AI-004 WingInspect Vision</x:v>
      </x:c>
      <x:c r="D22" s="26" t="str">
        <x:v>Qualified Human Final Inspection</x:v>
      </x:c>
      <x:c r="E22" s="26" t="str">
        <x:v>Prevent the vision model from becoming the sole authority for product acceptance/rejection in the current pilot.</x:v>
      </x:c>
      <x:c r="F22" s="26" t="str">
        <x:v>A qualified inspector makes the final acceptance/rejection decision. AI defect flags prioritize inspection but cannot autonomously release safety-critical components.</x:v>
      </x:c>
      <x:c r="G22" s="26" t="str">
        <x:v>Preventive</x:v>
      </x:c>
      <x:c r="H22" s="26" t="str">
        <x:v>Henrietta Duckwell - Director Manufacturing</x:v>
      </x:c>
      <x:c r="I22" s="26" t="str">
        <x:v>Every inspected component/batch within pilot scope</x:v>
      </x:c>
      <x:c r="J22" s="26" t="str">
        <x:v>Inspection record; inspector identity; AI flag; final disposition; override/review outcome</x:v>
      </x:c>
      <x:c r="K22" s="26" t="str">
        <x:v>Sample accepted/rejected components and verify final disposition was made by an authorized inspector. Confirm technical workflow cannot silently bypass the human step.</x:v>
      </x:c>
      <x:c r="L22" s="26" t="str">
        <x:v>Quality-system approval gate; mandatory inspector identity; exception alerts for missing human disposition</x:v>
      </x:c>
      <x:c r="M22" s="26" t="str">
        <x:v>AI-004-R01; AI-004-R02</x:v>
      </x:c>
      <x:c r="N22" s="26" t="str">
        <x:v>NIST AI RMF: GOVERN / MAP / MANAGE; ISO/IEC 42001: roles, competence and lifecycle governance; ISO/IEC 42005: human and stakeholder impacts; ISO/IEC 23894: risk treatment</x:v>
      </x:c>
      <x:c r="O22" s="26" t="str">
        <x:v>Implemented</x:v>
      </x:c>
      <x:c r="P22" s="14" t="str">
        <x:v>Implemented - baseline credited; critical assumption must remain validated</x:v>
      </x:c>
    </x:row>
    <x:row r="23">
      <x:c r="A23" s="26" t="str">
        <x:v>WI-02</x:v>
      </x:c>
      <x:c r="B23" s="26" t="str">
        <x:v>Safety &amp; validation</x:v>
      </x:c>
      <x:c r="C23" s="26" t="str">
        <x:v>AI-004 WingInspect Vision</x:v>
      </x:c>
      <x:c r="D23" s="26" t="str">
        <x:v>Minimum Sensitivity &amp; Safety Validation</x:v>
      </x:c>
      <x:c r="E23" s="26" t="str">
        <x:v>Prevent expansion where false-negative performance is not sufficient for the product/safety context.</x:v>
      </x:c>
      <x:c r="F23" s="26" t="str">
        <x:v>Predefine minimum sensitivity/false-negative thresholds by defect class and validate on representative data. Product Safety/Quality approval is required before expanding to safety-critical lines.</x:v>
      </x:c>
      <x:c r="G23" s="26" t="str">
        <x:v>Preventive</x:v>
      </x:c>
      <x:c r="H23" s="26" t="str">
        <x:v>Quentin Duckwell - Director Product Safety &amp; Quality</x:v>
      </x:c>
      <x:c r="I23" s="26" t="str">
        <x:v>Before each pilot/release scope and monthly during pilot; after material change</x:v>
      </x:c>
      <x:c r="J23" s="26" t="str">
        <x:v>Acceptance thresholds; representative validation set; confusion matrix; false-negative analysis; safety review; release decision</x:v>
      </x:c>
      <x:c r="K23" s="26" t="str">
        <x:v>Recalculate performance from a sample of labeled validation data and confirm thresholds were set before testing, met for the released version and reviewed by Product Safety.</x:v>
      </x:c>
      <x:c r="L23" s="26" t="str">
        <x:v>Automated evaluation pipeline; threshold-based release gate; model card/performance report generation</x:v>
      </x:c>
      <x:c r="M23" s="26" t="str">
        <x:v>AI-004-R01</x:v>
      </x:c>
      <x:c r="N23" s="26" t="str">
        <x:v>NIST AI RMF: MAP / MEASURE / MANAGE; ISO/IEC 23894: risk analysis, treatment and monitoring; NIST AI RMF: GOVERN / MAP / MANAGE; ISO/IEC 42001: roles, competence and lifecycle governance; ISO/IEC 42005: human and stakeholder impacts; ISO/IEC 23894: risk treatment</x:v>
      </x:c>
      <x:c r="O23" s="26" t="str">
        <x:v>Partially Implemented</x:v>
      </x:c>
      <x:c r="P23" s="14" t="str">
        <x:v>Partially implemented - performance thresholds are described; formal safety validation remains a production gate</x:v>
      </x:c>
    </x:row>
    <x:row r="24">
      <x:c r="A24" s="26" t="str">
        <x:v>WI-03</x:v>
      </x:c>
      <x:c r="B24" s="26" t="str">
        <x:v>Quality assurance</x:v>
      </x:c>
      <x:c r="C24" s="26" t="str">
        <x:v>AI-004 WingInspect Vision</x:v>
      </x:c>
      <x:c r="D24" s="26" t="str">
        <x:v>Independent QA Sampling &amp; Defect-Escape Monitoring</x:v>
      </x:c>
      <x:c r="E24" s="26" t="str">
        <x:v>Detect missed defects and confirm model/inspector performance remains effective in operation.</x:v>
      </x:c>
      <x:c r="F24" s="26" t="str">
        <x:v>Independently sample AI-cleared components and reconcile downstream defect/escape data. Investigate false-negative spikes and unexplained discrepancy between model and human results.</x:v>
      </x:c>
      <x:c r="G24" s="26" t="str">
        <x:v>Detective</x:v>
      </x:c>
      <x:c r="H24" s="26" t="str">
        <x:v>Quentin Duckwell - Director Product Safety &amp; Quality</x:v>
      </x:c>
      <x:c r="I24" s="26" t="str">
        <x:v>Risk-based sampling per batch; monthly trend review</x:v>
      </x:c>
      <x:c r="J24" s="26" t="str">
        <x:v>QA sample records; defect-escape metrics; root-cause analyses; corrective actions; trend reports</x:v>
      </x:c>
      <x:c r="K24" s="26" t="str">
        <x:v>Reperform sample selection and inspect a subset of components/records. Verify misses trigger investigation and the sampling method is not biased toward easy cases.</x:v>
      </x:c>
      <x:c r="L24" s="26" t="str">
        <x:v>Automated random sampling; defect-escape dashboard; threshold alerts</x:v>
      </x:c>
      <x:c r="M24" s="26" t="str">
        <x:v>AI-004-R01; AI-004-R03</x:v>
      </x:c>
      <x:c r="N24" s="26" t="str">
        <x:v>NIST AI RMF: MAP / MEASURE / MANAGE; ISO/IEC 23894: risk analysis, treatment and monitoring; ISO/IEC 42001: monitoring and continual improvement</x:v>
      </x:c>
      <x:c r="O24" s="26" t="str">
        <x:v>Planned</x:v>
      </x:c>
      <x:c r="P24" s="14" t="str">
        <x:v>Planned - target treatment</x:v>
      </x:c>
    </x:row>
    <x:row r="25">
      <x:c r="A25" s="26" t="str">
        <x:v>WI-04</x:v>
      </x:c>
      <x:c r="B25" s="26" t="str">
        <x:v>Resilience</x:v>
      </x:c>
      <x:c r="C25" s="26" t="str">
        <x:v>AI-004 WingInspect Vision</x:v>
      </x:c>
      <x:c r="D25" s="26" t="str">
        <x:v>Fail-Safe Manual Fallback &amp; Stop Rule</x:v>
      </x:c>
      <x:c r="E25" s="26" t="str">
        <x:v>Maintain safe inspection when model health, data quality or validation status is uncertain.</x:v>
      </x:c>
      <x:c r="F25" s="26" t="str">
        <x:v>If performance, camera/data quality, model health or validation evidence falls below approved limits, suspend AI reliance and revert to the validated manual inspection process until re-approved.</x:v>
      </x:c>
      <x:c r="G25" s="26" t="str">
        <x:v>Corrective</x:v>
      </x:c>
      <x:c r="H25" s="26" t="str">
        <x:v>Henrietta Duckwell - Director Manufacturing</x:v>
      </x:c>
      <x:c r="I25" s="26" t="str">
        <x:v>On threshold breach/outage/uncertain state; quarterly fallback exercise</x:v>
      </x:c>
      <x:c r="J25" s="26" t="str">
        <x:v>Fallback procedure; stop-use trigger; suspension record; manual inspection logs; restart approval</x:v>
      </x:c>
      <x:c r="K25" s="26" t="str">
        <x:v>Tabletop or controlled disablement test: confirm operators can switch to manual inspection, preserve evidence and cannot restart AI reliance without required approval.</x:v>
      </x:c>
      <x:c r="L25" s="26" t="str">
        <x:v>Feature flag / kill switch; automated health threshold; fallback workflow notification</x:v>
      </x:c>
      <x:c r="M25" s="26" t="str">
        <x:v>AI-004-R01</x:v>
      </x:c>
      <x:c r="N25" s="26" t="str">
        <x:v>NIST AI RMF: GOVERN / MANAGE; ISO/IEC 42001: governance, roles, lifecycle and continual improvement; ISO/IEC 23894: risk treatment and monitoring; NIST AI RMF: MEASURE / MANAGE; ISO/IEC 23894: AI risk monitoring and treatment; ISO 31000: enterprise risk management</x:v>
      </x:c>
      <x:c r="O25" s="26" t="str">
        <x:v>Planned</x:v>
      </x:c>
      <x:c r="P25" s="14" t="str">
        <x:v>Planned - target treatment</x:v>
      </x:c>
    </x:row>
    <x:row r="26">
      <x:c r="A26" s="26" t="str">
        <x:v>WI-05</x:v>
      </x:c>
      <x:c r="B26" s="26" t="str">
        <x:v>Performance tuning</x:v>
      </x:c>
      <x:c r="C26" s="26" t="str">
        <x:v>AI-004 WingInspect Vision</x:v>
      </x:c>
      <x:c r="D26" s="26" t="str">
        <x:v>False-Positive Tuning &amp; QA Feedback Loop</x:v>
      </x:c>
      <x:c r="E26" s="26" t="str">
        <x:v>Reduce unnecessary scrap/rework without weakening false-negative safety performance.</x:v>
      </x:c>
      <x:c r="F26" s="26" t="str">
        <x:v>Review false-positive patterns, tune thresholds only through controlled evaluation, and feed verified inspector outcomes into error analysis. Safety sensitivity takes precedence over cost optimization.</x:v>
      </x:c>
      <x:c r="G26" s="26" t="str">
        <x:v>Corrective</x:v>
      </x:c>
      <x:c r="H26" s="26" t="str">
        <x:v>Dr. Ada Duckfield - Head of Data &amp; AI</x:v>
      </x:c>
      <x:c r="I26" s="26" t="str">
        <x:v>Monthly and after material false-positive threshold breach</x:v>
      </x:c>
      <x:c r="J26" s="26" t="str">
        <x:v>False-positive analysis; threshold-change record; before/after test results; QA approval</x:v>
      </x:c>
      <x:c r="K26" s="26" t="str">
        <x:v>Inspect threshold changes and verify they used a controlled test set, retained safety minimums and had QA approval before deployment.</x:v>
      </x:c>
      <x:c r="L26" s="26" t="str">
        <x:v>Automated metric dashboard; change-control workflow; cost/safety trade-off report</x:v>
      </x:c>
      <x:c r="M26" s="26" t="str">
        <x:v>AI-004-R02</x:v>
      </x:c>
      <x:c r="N26" s="26" t="str">
        <x:v>NIST AI RMF: MAP / MEASURE / MANAGE; ISO/IEC 23894: risk analysis, treatment and monitoring; NIST AI RMF: MEASURE / MANAGE; ISO/IEC 23894: AI risk monitoring and treatment; ISO 31000: enterprise risk management</x:v>
      </x:c>
      <x:c r="O26" s="26" t="str">
        <x:v>Planned</x:v>
      </x:c>
      <x:c r="P26" s="14" t="str">
        <x:v>Planned - target treatment</x:v>
      </x:c>
    </x:row>
    <x:row r="27">
      <x:c r="A27" s="26" t="str">
        <x:v>WI-06</x:v>
      </x:c>
      <x:c r="B27" s="26" t="str">
        <x:v>Change &amp; data quality</x:v>
      </x:c>
      <x:c r="C27" s="26" t="str">
        <x:v>AI-004 WingInspect Vision</x:v>
      </x:c>
      <x:c r="D27" s="26" t="str">
        <x:v>Change-Triggered Revalidation &amp; Locked Baseline</x:v>
      </x:c>
      <x:c r="E27" s="26" t="str">
        <x:v>Prevent unnoticed performance degradation after camera, lighting, product-line, data-pipeline or model changes.</x:v>
      </x:c>
      <x:c r="F27" s="26" t="str">
        <x:v>Lock approved deployment baselines. Any material camera/product/model/preprocessing change triggers representative revalidation before use; ongoing image/data-quality checks detect degradation.</x:v>
      </x:c>
      <x:c r="G27" s="26" t="str">
        <x:v>Preventive</x:v>
      </x:c>
      <x:c r="H27" s="26" t="str">
        <x:v>Dr. Ada Duckfield - Head of Data &amp; AI</x:v>
      </x:c>
      <x:c r="I27" s="26" t="str">
        <x:v>Every material change; continuous data-quality monitoring</x:v>
      </x:c>
      <x:c r="J27" s="26" t="str">
        <x:v>Configuration baseline; camera/calibration metadata; change ticket; revalidation report; data-quality alerts</x:v>
      </x:c>
      <x:c r="K27" s="26" t="str">
        <x:v>Compare production configuration to approved baseline and sample recent changes. Verify deviations had revalidation before deployment and data-quality alerts were investigated.</x:v>
      </x:c>
      <x:c r="L27" s="26" t="str">
        <x:v>Configuration-as-code; checksum/version comparison; automated image-quality/drift checks</x:v>
      </x:c>
      <x:c r="M27" s="26" t="str">
        <x:v>AI-004-R03</x:v>
      </x:c>
      <x:c r="N27" s="26" t="str">
        <x:v>NIST AI RMF: GOVERN / MANAGE; ISO/IEC 42001: governance, roles, lifecycle and continual improvement; ISO/IEC 23894: risk treatment and monitoring; NIST AI RMF: MAP / MEASURE / MANAGE; ISO/IEC 23894: risk analysis, treatment and monitoring</x:v>
      </x:c>
      <x:c r="O27" s="26" t="str">
        <x:v>Partially Implemented</x:v>
      </x:c>
      <x:c r="P27" s="14" t="str">
        <x:v>Partially implemented - product-line/camera monitoring exists; locked-baseline revalidation is not fully evidenced</x:v>
      </x:c>
    </x:row>
    <x:row r="28">
      <x:c r="A28" s="26" t="str">
        <x:v>DT-01</x:v>
      </x:c>
      <x:c r="B28" s="26" t="str">
        <x:v>Fairness governance</x:v>
      </x:c>
      <x:c r="C28" s="26" t="str">
        <x:v>AI-005 DuckTalent AI</x:v>
      </x:c>
      <x:c r="D28" s="26" t="str">
        <x:v>Job-Relevance Criteria &amp; Proxy Feature Governance</x:v>
      </x:c>
      <x:c r="E28" s="26" t="str">
        <x:v>Prevent recruitment ranking from using unjustified, sensitive or proxy attributes unrelated to job requirements.</x:v>
      </x:c>
      <x:c r="F28" s="26" t="str">
        <x:v>For each role family, HR defines documented job-relevant criteria before model evaluation. Features, derived attributes and proxy risks are reviewed; prohibited/unjustified inputs are excluded from ranking and monitored for reintroduction after change.</x:v>
      </x:c>
      <x:c r="G28" s="26" t="str">
        <x:v>Preventive</x:v>
      </x:c>
      <x:c r="H28" s="26" t="str">
        <x:v>Beatrice Van Duck - Chief People Officer</x:v>
      </x:c>
      <x:c r="I28" s="26" t="str">
        <x:v>Before any pilot; every role/feature/model change</x:v>
      </x:c>
      <x:c r="J28" s="26" t="str">
        <x:v>Role criteria matrix; feature inventory; proxy analysis; approval record; excluded-field configuration</x:v>
      </x:c>
      <x:c r="K28" s="26" t="str">
        <x:v>Trace a sample of model features/inputs to approved job criteria. Test that excluded attributes and obvious proxies are unavailable to the ranking function.</x:v>
      </x:c>
      <x:c r="L28" s="26" t="str">
        <x:v>Feature allowlist; automated schema checks; proxy-correlation screening; change diff alerts</x:v>
      </x:c>
      <x:c r="M28" s="26" t="str">
        <x:v>AI-005-R01</x:v>
      </x:c>
      <x:c r="N28" s="26" t="str">
        <x:v>NIST AI RMF: MAP / MEASURE / MANAGE; ISO/IEC 42005: AI impact assessment; ISO/IEC 42001: impact/risk governance; ISO/IEC 23894: AI risk treatment</x:v>
      </x:c>
      <x:c r="O28" s="26" t="str">
        <x:v>Not Implemented</x:v>
      </x:c>
      <x:c r="P28" s="14" t="str">
        <x:v>Not implemented - deployment remains blocked</x:v>
      </x:c>
    </x:row>
    <x:row r="29">
      <x:c r="A29" s="26" t="str">
        <x:v>DT-02</x:v>
      </x:c>
      <x:c r="B29" s="26" t="str">
        <x:v>Fairness validation</x:v>
      </x:c>
      <x:c r="C29" s="26" t="str">
        <x:v>AI-005 DuckTalent AI</x:v>
      </x:c>
      <x:c r="D29" s="26" t="str">
        <x:v>Pre-Deployment Fairness &amp; Adverse-Impact Testing</x:v>
      </x:c>
      <x:c r="E29" s="26" t="str">
        <x:v>Detect material subgroup performance differences, ranking errors and potentially discriminatory outcome patterns before deployment.</x:v>
      </x:c>
      <x:c r="F29" s="26" t="str">
        <x:v>Using legally appropriate and representative evaluation data, test error rates, selection/ranking outcomes and failure modes across relevant groups. Investigate material disparity and document limitations rather than relying on a single fairness metric.</x:v>
      </x:c>
      <x:c r="G29" s="26" t="str">
        <x:v>Detective</x:v>
      </x:c>
      <x:c r="H29" s="26" t="str">
        <x:v>Beatrice Van Duck - Chief People Officer</x:v>
      </x:c>
      <x:c r="I29" s="26" t="str">
        <x:v>Before pilot/deployment; quarterly if operating; after material change or complaint</x:v>
      </x:c>
      <x:c r="J29" s="26" t="str">
        <x:v>Fairness test plan; dataset profile; subgroup metrics; error analysis; adverse-impact investigation; second-line challenge</x:v>
      </x:c>
      <x:c r="K29" s="26" t="str">
        <x:v>Reperform selected metrics from the versioned evaluation dataset, confirm group definitions and thresholds were justified, and verify significant disparities produced documented treatment decisions.</x:v>
      </x:c>
      <x:c r="L29" s="26" t="str">
        <x:v>Automated fairness evaluation pipeline; reproducible notebooks; threshold alerts and trend dashboard</x:v>
      </x:c>
      <x:c r="M29" s="26" t="str">
        <x:v>AI-005-R01</x:v>
      </x:c>
      <x:c r="N29" s="26" t="str">
        <x:v>NIST AI RMF: MAP / MEASURE / MANAGE; ISO/IEC 42005: AI impact assessment; ISO/IEC 42001: impact/risk governance; ISO/IEC 23894: AI risk treatment</x:v>
      </x:c>
      <x:c r="O29" s="26" t="str">
        <x:v>Not Implemented</x:v>
      </x:c>
      <x:c r="P29" s="14" t="str">
        <x:v>Not implemented - deployment remains blocked</x:v>
      </x:c>
    </x:row>
    <x:row r="30">
      <x:c r="A30" s="26" t="str">
        <x:v>DT-03</x:v>
      </x:c>
      <x:c r="B30" s="26" t="str">
        <x:v>Human oversight</x:v>
      </x:c>
      <x:c r="C30" s="26" t="str">
        <x:v>AI-005 DuckTalent AI</x:v>
      </x:c>
      <x:c r="D30" s="26" t="str">
        <x:v>Meaningful Human Review &amp; No Automated Rejection</x:v>
      </x:c>
      <x:c r="E30" s="26" t="str">
        <x:v>Prevent AI rankings/summaries from becoming the de facto or automatic employment decision.</x:v>
      </x:c>
      <x:c r="F30" s="26" t="str">
        <x:v>The system cannot automatically reject or hire candidates. Recruiters/hiring managers must review relevant source information, can override the AI, and remain accountable for consequential decisions.</x:v>
      </x:c>
      <x:c r="G30" s="26" t="str">
        <x:v>Preventive</x:v>
      </x:c>
      <x:c r="H30" s="26" t="str">
        <x:v>Beatrice Van Duck - Chief People Officer</x:v>
      </x:c>
      <x:c r="I30" s="26" t="str">
        <x:v>Every consequential recruitment decision</x:v>
      </x:c>
      <x:c r="J30" s="26" t="str">
        <x:v>Workflow configuration; reviewer authorization; decision record; source information reviewed; override record</x:v>
      </x:c>
      <x:c r="K30" s="26" t="str">
        <x:v>Walk through the hiring workflow and attempt an automatic rejection. Sample decisions and verify reviewers had enough information/time/authority to challenge the AI rather than merely confirm it.</x:v>
      </x:c>
      <x:c r="L30" s="26" t="str">
        <x:v>ATS workflow hard-stop; mandatory reviewer action; prohibition of auto-reject rules</x:v>
      </x:c>
      <x:c r="M30" s="26" t="str">
        <x:v>AI-005-R02</x:v>
      </x:c>
      <x:c r="N30" s="26" t="str">
        <x:v>NIST AI RMF: GOVERN / MAP / MANAGE; ISO/IEC 42001: roles, competence and lifecycle governance; ISO/IEC 42005: human and stakeholder impacts; ISO/IEC 23894: risk treatment; NIST AI RMF: MAP / MEASURE / MANAGE; ISO/IEC 42005: AI impact assessment; ISO/IEC 42001: impact/risk governance; ISO/IEC 23894: AI risk treatment</x:v>
      </x:c>
      <x:c r="O30" s="26" t="str">
        <x:v>Not Implemented</x:v>
      </x:c>
      <x:c r="P30" s="14" t="str">
        <x:v>Not implemented - design principle exists but operating control is absent</x:v>
      </x:c>
    </x:row>
    <x:row r="31">
      <x:c r="A31" s="26" t="str">
        <x:v>DT-04</x:v>
      </x:c>
      <x:c r="B31" s="26" t="str">
        <x:v>Automation-bias control</x:v>
      </x:c>
      <x:c r="C31" s="26" t="str">
        <x:v>AI-005 DuckTalent AI</x:v>
      </x:c>
      <x:c r="D31" s="26" t="str">
        <x:v>Reviewer Rationale, Training &amp; Override Monitoring</x:v>
      </x:c>
      <x:c r="E31" s="26" t="str">
        <x:v>Reduce automation bias and identify patterns indicating nominal rather than meaningful human oversight.</x:v>
      </x:c>
      <x:c r="F31" s="26" t="str">
        <x:v>Authorized reviewers receive role-specific training and must record a concise rationale for consequential shortlist/rejection decisions. Override, challenge and agreement rates are monitored for abnormal patterns.</x:v>
      </x:c>
      <x:c r="G31" s="26" t="str">
        <x:v>Preventive</x:v>
      </x:c>
      <x:c r="H31" s="26" t="str">
        <x:v>Beatrice Van Duck - Chief People Officer</x:v>
      </x:c>
      <x:c r="I31" s="26" t="str">
        <x:v>Training before access and annually; rationale every decision; monthly monitoring</x:v>
      </x:c>
      <x:c r="J31" s="26" t="str">
        <x:v>Training completion; access list; decision rationales; override/challenge metrics; coaching/remediation records</x:v>
      </x:c>
      <x:c r="K31" s="26" t="str">
        <x:v>Sample reviewer decisions for substantive rationale; verify untrained users cannot access the tool; analyze override/agreement rates for reviewers who appear to rubber-stamp outputs.</x:v>
      </x:c>
      <x:c r="L31" s="26" t="str">
        <x:v>Learning-management integration; mandatory rationale field; reviewer-behavior analytics</x:v>
      </x:c>
      <x:c r="M31" s="26" t="str">
        <x:v>AI-005-R02</x:v>
      </x:c>
      <x:c r="N31" s="26" t="str">
        <x:v>NIST AI RMF: GOVERN / MAP / MANAGE; ISO/IEC 42001: roles, competence and lifecycle governance; ISO/IEC 42005: human and stakeholder impacts; ISO/IEC 23894: risk treatment; NIST AI RMF: MAP / MEASURE / MANAGE; ISO/IEC 42005: AI impact assessment; ISO/IEC 42001: impact/risk governance; ISO/IEC 23894: AI risk treatment</x:v>
      </x:c>
      <x:c r="O31" s="26" t="str">
        <x:v>Not Implemented</x:v>
      </x:c>
      <x:c r="P31" s="14" t="str">
        <x:v>Not implemented - deployment remains blocked</x:v>
      </x:c>
    </x:row>
    <x:row r="32">
      <x:c r="A32" s="26" t="str">
        <x:v>DT-05</x:v>
      </x:c>
      <x:c r="B32" s="26" t="str">
        <x:v>Privacy &amp; data governance</x:v>
      </x:c>
      <x:c r="C32" s="26" t="str">
        <x:v>AI-005 DuckTalent AI</x:v>
      </x:c>
      <x:c r="D32" s="26" t="str">
        <x:v>Applicant Data Minimization, Field Exclusion &amp; Retention</x:v>
      </x:c>
      <x:c r="E32" s="26" t="str">
        <x:v>Limit personal data to information necessary for the approved recruitment purpose and prevent unrelated sensitive inference/use.</x:v>
      </x:c>
      <x:c r="F32" s="26" t="str">
        <x:v>Define the minimum applicant fields needed, exclude sensitive/unrelated attributes and derived traits from ranking, restrict access, and implement documented retention/deletion aligned to validated legal/records requirements.</x:v>
      </x:c>
      <x:c r="G32" s="26" t="str">
        <x:v>Preventive</x:v>
      </x:c>
      <x:c r="H32" s="26" t="str">
        <x:v>Beatrice Van Duck - Chief People Officer</x:v>
      </x:c>
      <x:c r="I32" s="26" t="str">
        <x:v>Before processing; every data-source/schema change; quarterly retention/access review</x:v>
      </x:c>
      <x:c r="J32" s="26" t="str">
        <x:v>Data inventory; field allowlist/denylist; access rules; retention configuration; deletion logs; data-flow record</x:v>
      </x:c>
      <x:c r="K32" s="26" t="str">
        <x:v>Compare actual ingestion schema and model features to the approved field list; test excluded fields; sample expired records for deletion and verify access is role-restricted.</x:v>
      </x:c>
      <x:c r="L32" s="26" t="str">
        <x:v>Schema enforcement; privacy filters; automated retention/deletion jobs; entitlement recertification</x:v>
      </x:c>
      <x:c r="M32" s="26" t="str">
        <x:v>AI-005-R03</x:v>
      </x:c>
      <x:c r="N32" s="26" t="str">
        <x:v>NIST AI RMF: GOVERN / MANAGE; ISO/IEC 42001: data and lifecycle governance; ISO/IEC 27001: access control, information protection and logging; ISO/IEC 23894: risk treatment; NIST AI RMF: MAP / MEASURE / MANAGE; ISO/IEC 42005: AI impact assessment; ISO/IEC 42001: impact/risk governance; ISO/IEC 23894: AI risk treatment</x:v>
      </x:c>
      <x:c r="O32" s="26" t="str">
        <x:v>Not Implemented</x:v>
      </x:c>
      <x:c r="P32" s="14" t="str">
        <x:v>Not implemented - no production processing is authorized</x:v>
      </x:c>
    </x:row>
    <x:row r="33">
      <x:c r="A33" s="26" t="str">
        <x:v>DT-06</x:v>
      </x:c>
      <x:c r="B33" s="26" t="str">
        <x:v>Governance review</x:v>
      </x:c>
      <x:c r="C33" s="26" t="str">
        <x:v>AI-005 DuckTalent AI</x:v>
      </x:c>
      <x:c r="D33" s="26" t="str">
        <x:v>Impact, Privacy &amp; Legal Review Gate</x:v>
      </x:c>
      <x:c r="E33" s="26" t="str">
        <x:v>Ensure the recruitment use cannot proceed while material rights, privacy, legal-role or impact questions remain unresolved.</x:v>
      </x:c>
      <x:c r="F33" s="26" t="str">
        <x:v>Before procurement/pilot/deployment, Duckworks completes the required enterprise impact/risk work and obtains Legal, Privacy, HR, Security and AI Governance review appropriate to the actual design. Open blocking findings prevent release.</x:v>
      </x:c>
      <x:c r="G33" s="26" t="str">
        <x:v>Preventive</x:v>
      </x:c>
      <x:c r="H33" s="26" t="str">
        <x:v>Eleanor Duckford - AI Governance Lead</x:v>
      </x:c>
      <x:c r="I33" s="26" t="str">
        <x:v>Before procurement/pilot/deployment and on material change</x:v>
      </x:c>
      <x:c r="J33" s="26" t="str">
        <x:v>AIA; risk assessment; DPIA/privacy assessment where applicable; legal triage; specialist sign-offs; action tracker; governance decision</x:v>
      </x:c>
      <x:c r="K33" s="26" t="str">
        <x:v>Verify the review pack reflects the exact intended purpose/model/data/workflow, all blocking findings are closed or explicitly treated, and no specialist 'not ready' decision was bypassed.</x:v>
      </x:c>
      <x:c r="L33" s="26" t="str">
        <x:v>Governance workflow orchestration; mandatory specialist routing based on data/impact flags</x:v>
      </x:c>
      <x:c r="M33" s="26" t="str">
        <x:v>AI-005-R03</x:v>
      </x:c>
      <x:c r="N33" s="26" t="str">
        <x:v>NIST AI RMF: GOVERN / MANAGE; ISO/IEC 42001: governance, roles, lifecycle and continual improvement; ISO/IEC 23894: risk treatment and monitoring; NIST AI RMF: MAP / MEASURE / MANAGE; ISO/IEC 42005: AI impact assessment; ISO/IEC 42001: impact/risk governance; ISO/IEC 23894: AI risk treatment</x:v>
      </x:c>
      <x:c r="O33" s="26" t="str">
        <x:v>Not Implemented</x:v>
      </x:c>
      <x:c r="P33" s="14" t="str">
        <x:v>Not implemented - assessment artifacts exist in draft/portfolio form, but the operational gate is not closed</x:v>
      </x:c>
    </x:row>
    <x:row r="34">
      <x:c r="A34" s="26" t="str">
        <x:v>DT-07</x:v>
      </x:c>
      <x:c r="B34" s="26" t="str">
        <x:v>Transparency &amp; remedy</x:v>
      </x:c>
      <x:c r="C34" s="26" t="str">
        <x:v>AI-005 DuckTalent AI</x:v>
      </x:c>
      <x:c r="D34" s="26" t="str">
        <x:v>Candidate Notice, Challenge &amp; Human Remedy</x:v>
      </x:c>
      <x:c r="E34" s="26" t="str">
        <x:v>Give affected candidates a clear route to understand AI involvement, contest material errors and obtain human review/remediation.</x:v>
      </x:c>
      <x:c r="F34" s="26" t="str">
        <x:v>Provide appropriate notice of AI-assisted recruitment, accessible human contact, a challenge process and timely review of disputed data/ranking outcomes. Complaints and remedies feed monitoring and reassessment.</x:v>
      </x:c>
      <x:c r="G34" s="26" t="str">
        <x:v>Corrective</x:v>
      </x:c>
      <x:c r="H34" s="26" t="str">
        <x:v>Beatrice Van Duck - Chief People Officer</x:v>
      </x:c>
      <x:c r="I34" s="26" t="str">
        <x:v>Notice before relevant processing; every challenge case; quarterly trend review</x:v>
      </x:c>
      <x:c r="J34" s="26" t="str">
        <x:v>Notice template; accessibility review; challenge tickets; human-review outcomes; correction/remedy records; trend analysis</x:v>
      </x:c>
      <x:c r="K34" s="26" t="str">
        <x:v>Submit synthetic challenge cases and verify routing, identity/access controls, reviewer independence, response quality and correction propagation. Review patterns for systemic issues.</x:v>
      </x:c>
      <x:c r="L34" s="26" t="str">
        <x:v>Candidate portal workflow; case tracking; automated trend analysis and reassessment trigger</x:v>
      </x:c>
      <x:c r="M34" s="26" t="str">
        <x:v>AI-005-R01; AI-005-R02</x:v>
      </x:c>
      <x:c r="N34" s="26" t="str">
        <x:v>NIST AI RMF: MAP / MEASURE / MANAGE; ISO/IEC 42005: AI impact assessment; ISO/IEC 42001: impact/risk governance; ISO/IEC 23894: AI risk treatment</x:v>
      </x:c>
      <x:c r="O34" s="26" t="str">
        <x:v>Not Implemented</x:v>
      </x:c>
      <x:c r="P34" s="14" t="str">
        <x:v>Not implemented - deployment remains blocked</x:v>
      </x:c>
    </x:row>
    <x:row r="35">
      <x:c r="A35" s="26" t="str">
        <x:v>PG-01</x:v>
      </x:c>
      <x:c r="B35" s="26" t="str">
        <x:v>Access control</x:v>
      </x:c>
      <x:c r="C35" s="26" t="str">
        <x:v>AI-006 PondGPT</x:v>
      </x:c>
      <x:c r="D35" s="26" t="str">
        <x:v>Permission-Aware Retrieval</x:v>
      </x:c>
      <x:c r="E35" s="26" t="str">
        <x:v>Prevent PondGPT from revealing content a user could not access in the source system.</x:v>
      </x:c>
      <x:c r="F35" s="26" t="str">
        <x:v>RAG retrieval must inherit source-system authorization and deny cross-user/role access. Restricted repositories remain excluded until permission inheritance is verified.</x:v>
      </x:c>
      <x:c r="G35" s="26" t="str">
        <x:v>Preventive</x:v>
      </x:c>
      <x:c r="H35" s="26" t="str">
        <x:v>Oliver Duckett - Head of IT &amp; Cloud</x:v>
      </x:c>
      <x:c r="I35" s="26" t="str">
        <x:v>Continuous; quarterly entitlement review; on connector change</x:v>
      </x:c>
      <x:c r="J35" s="26" t="str">
        <x:v>Architecture; identity claims; ACL mapping; connector scope; denied-access logs; restricted-repository list</x:v>
      </x:c>
      <x:c r="K35" s="26" t="str">
        <x:v>Use test identities with different source permissions and verify retrieved results never exceed source-system access. Review privileged connector/service accounts.</x:v>
      </x:c>
      <x:c r="L35" s="26" t="str">
        <x:v>Identity-aware retrieval filters; automated entitlement synchronization; policy engine</x:v>
      </x:c>
      <x:c r="M35" s="26" t="str">
        <x:v>AI-006-R01</x:v>
      </x:c>
      <x:c r="N35" s="26" t="str">
        <x:v>NIST AI RMF: MEASURE / MANAGE; NIST AI 600-1 GenAI Profile; ISO/IEC 27001: access control, data leakage prevention, logging and secure development; ENISA AI cybersecurity guidance; OWASP GenAI Security guidance</x:v>
      </x:c>
      <x:c r="O35" s="26" t="str">
        <x:v>Partially Implemented</x:v>
      </x:c>
      <x:c r="P35" s="14" t="str">
        <x:v>Partially implemented - SSO/authorization inheritance is credited but remains a critical open assumption</x:v>
      </x:c>
    </x:row>
    <x:row r="36">
      <x:c r="A36" s="26" t="str">
        <x:v>PG-02</x:v>
      </x:c>
      <x:c r="B36" s="26" t="str">
        <x:v>Access assurance</x:v>
      </x:c>
      <x:c r="C36" s="26" t="str">
        <x:v>AI-006 PondGPT</x:v>
      </x:c>
      <x:c r="D36" s="26" t="str">
        <x:v>Automated Permission Regression &amp; DLP Tests</x:v>
      </x:c>
      <x:c r="E36" s="26" t="str">
        <x:v>Detect authorization drift or sensitive-source exposure after connector, permission or configuration changes.</x:v>
      </x:c>
      <x:c r="F36" s="26" t="str">
        <x:v>Run a versioned permission regression suite using authorized/unauthorized personas and synthetic sensitive records. Apply DLP and sensitive-source deny rules; failures block connector/corpus expansion.</x:v>
      </x:c>
      <x:c r="G36" s="26" t="str">
        <x:v>Detective</x:v>
      </x:c>
      <x:c r="H36" s="26" t="str">
        <x:v>Oliver Duckett - Head of IT &amp; Cloud</x:v>
      </x:c>
      <x:c r="I36" s="26" t="str">
        <x:v>On every connector/permission/configuration change; weekly automated regression</x:v>
      </x:c>
      <x:c r="J36" s="26" t="str">
        <x:v>Regression suite; synthetic test identities/data; DLP events; failure tickets; approval to expand corpus</x:v>
      </x:c>
      <x:c r="K36" s="26" t="str">
        <x:v>Reperform representative positive/negative permission tests and verify failures create actionable alerts and block expansion until resolved.</x:v>
      </x:c>
      <x:c r="L36" s="26" t="str">
        <x:v>Scheduled permission tests; DLP/SSE integration; automated connector gate</x:v>
      </x:c>
      <x:c r="M36" s="26" t="str">
        <x:v>AI-006-R01</x:v>
      </x:c>
      <x:c r="N36" s="26" t="str">
        <x:v>NIST AI RMF: MEASURE / MANAGE; NIST AI 600-1 GenAI Profile; ISO/IEC 27001: access control, data leakage prevention, logging and secure development; ENISA AI cybersecurity guidance; OWASP GenAI Security guidance</x:v>
      </x:c>
      <x:c r="O36" s="26" t="str">
        <x:v>Planned</x:v>
      </x:c>
      <x:c r="P36" s="14" t="str">
        <x:v>Planned - target treatment</x:v>
      </x:c>
    </x:row>
    <x:row r="37">
      <x:c r="A37" s="26" t="str">
        <x:v>PG-03</x:v>
      </x:c>
      <x:c r="B37" s="26" t="str">
        <x:v>AI security testing</x:v>
      </x:c>
      <x:c r="C37" s="26" t="str">
        <x:v>AI-006 PondGPT</x:v>
      </x:c>
      <x:c r="D37" s="26" t="str">
        <x:v>Prompt Injection &amp; RAG Poisoning Test Suite</x:v>
      </x:c>
      <x:c r="E37" s="26" t="str">
        <x:v>Detect exploitable instructions or poisoned content that could cause exfiltration, unsafe output or tool misuse.</x:v>
      </x:c>
      <x:c r="F37" s="26" t="str">
        <x:v>Test direct and indirect prompt injection, poisoned documents, hidden instructions, retrieval manipulation and data-exfiltration paths against the exact pilot configuration. Regression-test remediations.</x:v>
      </x:c>
      <x:c r="G37" s="26" t="str">
        <x:v>Detective</x:v>
      </x:c>
      <x:c r="H37" s="26" t="str">
        <x:v>Cassandra Duckley - Chief Information Security Officer</x:v>
      </x:c>
      <x:c r="I37" s="26" t="str">
        <x:v>Before release; after model/connector/corpus change; quarterly</x:v>
      </x:c>
      <x:c r="J37" s="26" t="str">
        <x:v>Threat model; attack corpus; test results; affected model/config version; remediation and regression evidence</x:v>
      </x:c>
      <x:c r="K37" s="26" t="str">
        <x:v>Re-run a sample of high-risk attacks and confirm mitigations work under the current configuration, including poisoned retrieved documents.</x:v>
      </x:c>
      <x:c r="L37" s="26" t="str">
        <x:v>Automated red-team regression harness; malicious-document test corpus</x:v>
      </x:c>
      <x:c r="M37" s="26" t="str">
        <x:v>AI-006-R02</x:v>
      </x:c>
      <x:c r="N37" s="26" t="str">
        <x:v>NIST AI RMF: MEASURE / MANAGE; NIST AI 600-1 GenAI Profile; ISO/IEC 27001: access control, data leakage prevention, logging and secure development; ENISA AI cybersecurity guidance; OWASP GenAI Security guidance</x:v>
      </x:c>
      <x:c r="O37" s="26" t="str">
        <x:v>Planned</x:v>
      </x:c>
      <x:c r="P37" s="14" t="str">
        <x:v>Planned - target treatment</x:v>
      </x:c>
    </x:row>
    <x:row r="38">
      <x:c r="A38" s="26" t="str">
        <x:v>PG-04</x:v>
      </x:c>
      <x:c r="B38" s="26" t="str">
        <x:v>Tool security</x:v>
      </x:c>
      <x:c r="C38" s="26" t="str">
        <x:v>AI-006 PondGPT</x:v>
      </x:c>
      <x:c r="D38" s="26" t="str">
        <x:v>Tool Sandboxing &amp; Allowlisted Actions</x:v>
      </x:c>
      <x:c r="E38" s="26" t="str">
        <x:v>Prevent excessive agency, unsafe actions and unapproved tool execution by the assistant.</x:v>
      </x:c>
      <x:c r="F38" s="26" t="str">
        <x:v>Restrict connectors and tools to explicitly approved functions, least-privilege service accounts and sandboxed execution. High-impact actions require explicit human authorization and are disabled in the current pilot unless separately approved.</x:v>
      </x:c>
      <x:c r="G38" s="26" t="str">
        <x:v>Preventive</x:v>
      </x:c>
      <x:c r="H38" s="26" t="str">
        <x:v>Oliver Duckett - Head of IT &amp; Cloud</x:v>
      </x:c>
      <x:c r="I38" s="26" t="str">
        <x:v>Continuous; quarterly review; on new tool/connector</x:v>
      </x:c>
      <x:c r="J38" s="26" t="str">
        <x:v>Tool allowlist; service-account permissions; sandbox configuration; human-authorization control; denied-action logs</x:v>
      </x:c>
      <x:c r="K38" s="26" t="str">
        <x:v>Attempt non-allowlisted actions and privilege escalation with test identities. Verify high-impact actions require explicit authorization and cannot be silently invoked.</x:v>
      </x:c>
      <x:c r="L38" s="26" t="str">
        <x:v>Policy-as-code; sandbox; just-in-time authorization; action allowlist</x:v>
      </x:c>
      <x:c r="M38" s="26" t="str">
        <x:v>AI-006-R02</x:v>
      </x:c>
      <x:c r="N38" s="26" t="str">
        <x:v>NIST AI RMF: MEASURE / MANAGE; NIST AI 600-1 GenAI Profile; ISO/IEC 27001: access control, data leakage prevention, logging and secure development; ENISA AI cybersecurity guidance; OWASP GenAI Security guidance</x:v>
      </x:c>
      <x:c r="O38" s="26" t="str">
        <x:v>Partially Implemented</x:v>
      </x:c>
      <x:c r="P38" s="14" t="str">
        <x:v>Partially implemented - restricted connectors are credited; sandbox/allowlist verification is incomplete</x:v>
      </x:c>
    </x:row>
    <x:row r="39">
      <x:c r="A39" s="26" t="str">
        <x:v>PG-05</x:v>
      </x:c>
      <x:c r="B39" s="26" t="str">
        <x:v>Monitoring</x:v>
      </x:c>
      <x:c r="C39" s="26" t="str">
        <x:v>AI-006 PondGPT</x:v>
      </x:c>
      <x:c r="D39" s="26" t="str">
        <x:v>GenAI Security Logging &amp; Alerting</x:v>
      </x:c>
      <x:c r="E39" s="26" t="str">
        <x:v>Detect unauthorized retrieval, prompt attacks, DLP events, unusual tool behavior and cross-user leakage.</x:v>
      </x:c>
      <x:c r="F39" s="26" t="str">
        <x:v>Capture security-relevant prompts/events, retrieval authorization decisions, connector activity, DLP outcomes and model/tool errors within approved privacy boundaries. Alerts have named owners and escalation routes.</x:v>
      </x:c>
      <x:c r="G39" s="26" t="str">
        <x:v>Detective</x:v>
      </x:c>
      <x:c r="H39" s="26" t="str">
        <x:v>Cassandra Duckley - Chief Information Security Officer</x:v>
      </x:c>
      <x:c r="I39" s="26" t="str">
        <x:v>Continuous; daily triage; monthly control review</x:v>
      </x:c>
      <x:c r="J39" s="26" t="str">
        <x:v>Audit/security logs; alert rules; DLP events; privileged-source access alerts; investigations; retention configuration</x:v>
      </x:c>
      <x:c r="K39" s="26" t="str">
        <x:v>Generate synthetic permission violations and injection indicators and confirm end-to-end detection, case creation, evidence retention and disposition.</x:v>
      </x:c>
      <x:c r="L39" s="26" t="str">
        <x:v>SIEM/SOAR integration; anomaly detection; automated case creation</x:v>
      </x:c>
      <x:c r="M39" s="26" t="str">
        <x:v>AI-006-R01; AI-006-R02; AI-006-R03</x:v>
      </x:c>
      <x:c r="N39" s="26" t="str">
        <x:v>NIST AI RMF: MEASURE / MANAGE; NIST AI 600-1 GenAI Profile; ISO/IEC 27001: access control, data leakage prevention, logging and secure development; ENISA AI cybersecurity guidance; OWASP GenAI Security guidance</x:v>
      </x:c>
      <x:c r="O39" s="26" t="str">
        <x:v>Partially Implemented</x:v>
      </x:c>
      <x:c r="P39" s="14" t="str">
        <x:v>Partially implemented - logging is credited; alerting/coverage validation is incomplete</x:v>
      </x:c>
    </x:row>
    <x:row r="40">
      <x:c r="A40" s="26" t="str">
        <x:v>PG-06</x:v>
      </x:c>
      <x:c r="B40" s="26" t="str">
        <x:v>Output assurance</x:v>
      </x:c>
      <x:c r="C40" s="26" t="str">
        <x:v>AI-006 PondGPT</x:v>
      </x:c>
      <x:c r="D40" s="26" t="str">
        <x:v>Secure Output Verification &amp; Code Scanning</x:v>
      </x:c>
      <x:c r="E40" s="26" t="str">
        <x:v>Prevent hallucinated or insecure generated code/guidance from being treated as verified operational output.</x:v>
      </x:c>
      <x:c r="F40" s="26" t="str">
        <x:v>Consequential guidance must be checked against authoritative sources by an accountable user. Generated code entering development pipelines requires developer review and automated security/quality scanning before merge or deployment.</x:v>
      </x:c>
      <x:c r="G40" s="26" t="str">
        <x:v>Preventive</x:v>
      </x:c>
      <x:c r="H40" s="26" t="str">
        <x:v>Dr. Ada Duckfield - Head of Data &amp; AI</x:v>
      </x:c>
      <x:c r="I40" s="26" t="str">
        <x:v>Every consequential output; every generated-code contribution</x:v>
      </x:c>
      <x:c r="J40" s="26" t="str">
        <x:v>Code review; SAST/dependency scan results; source citations; user verification record where required; rejected output examples</x:v>
      </x:c>
      <x:c r="K40" s="26" t="str">
        <x:v>Sample generated-code changes and verify human review plus security scanning occurred before merge. Test a known insecure code example and confirm pipeline rejection/alerting.</x:v>
      </x:c>
      <x:c r="L40" s="26" t="str">
        <x:v>CI security scanning; mandatory pull-request review; source-grounding prompts and citation checks</x:v>
      </x:c>
      <x:c r="M40" s="26" t="str">
        <x:v>AI-006-R03</x:v>
      </x:c>
      <x:c r="N40" s="26" t="str">
        <x:v>NIST AI RMF: MEASURE / MANAGE; NIST AI 600-1 GenAI Profile; ISO/IEC 27001: access control, data leakage prevention, logging and secure development; ENISA AI cybersecurity guidance; OWASP GenAI Security guidance; NIST AI RMF: GOVERN / MAP / MANAGE; ISO/IEC 42001: roles, competence and lifecycle governance; ISO/IEC 42005: human and stakeholder impacts; ISO/IEC 23894: risk treatment</x:v>
      </x:c>
      <x:c r="O40" s="26" t="str">
        <x:v>Partially Implemented</x:v>
      </x:c>
      <x:c r="P40" s="14" t="str">
        <x:v>Partially implemented - user guidance exists; technical scanning/grounding are target enhancements</x:v>
      </x:c>
    </x:row>
    <x:row r="41">
      <x:c r="A41" s="26" t="str">
        <x:v>SH-01</x:v>
      </x:c>
      <x:c r="B41" s="26" t="str">
        <x:v>Acceptable use</x:v>
      </x:c>
      <x:c r="C41" s="26" t="str">
        <x:v>AI-007 Unregistered GenAI Usage</x:v>
      </x:c>
      <x:c r="D41" s="26" t="str">
        <x:v>AI Acceptable Use Standard</x:v>
      </x:c>
      <x:c r="E41" s="26" t="str">
        <x:v>Prevent sensitive data submission and consequential unregistered AI use by defining clear permitted and prohibited behavior.</x:v>
      </x:c>
      <x:c r="F41" s="26" t="str">
        <x:v>Publish enterprise rules for approved AI use, prohibited data classes, prohibited consequential use, approved alternatives, exception routes, reporting and consequences for bypassing controls.</x:v>
      </x:c>
      <x:c r="G41" s="26" t="str">
        <x:v>Preventive</x:v>
      </x:c>
      <x:c r="H41" s="26" t="str">
        <x:v>Cassandra Duckley - Chief Information Security Officer</x:v>
      </x:c>
      <x:c r="I41" s="26" t="str">
        <x:v>On policy change; annual acknowledgement; onboarding and targeted refreshers</x:v>
      </x:c>
      <x:c r="J41" s="26" t="str">
        <x:v>Approved standard; acknowledgement/training records; exception register; communications; FAQ</x:v>
      </x:c>
      <x:c r="K41" s="26" t="str">
        <x:v>Interview/sample users and inspect training records. Test whether the standard clearly addresses actual discovered behaviors and whether exceptions follow the defined route.</x:v>
      </x:c>
      <x:c r="L41" s="26" t="str">
        <x:v>Policy acknowledgement in LMS; contextual warning banners; just-in-time guidance in approved tools</x:v>
      </x:c>
      <x:c r="M41" s="26" t="str">
        <x:v>AI-007-R01; AI-007-R02</x:v>
      </x:c>
      <x:c r="N41" s="26" t="str">
        <x:v>NIST AI RMF: GOVERN / MANAGE; ISO/IEC 42001: governance, roles, lifecycle and continual improvement; ISO/IEC 23894: risk treatment and monitoring; NIST AI 600-1 GenAI Profile</x:v>
      </x:c>
      <x:c r="O41" s="26" t="str">
        <x:v>Planned</x:v>
      </x:c>
      <x:c r="P41" s="14" t="str">
        <x:v>Planned - immediate containment priority</x:v>
      </x:c>
    </x:row>
    <x:row r="42">
      <x:c r="A42" s="26" t="str">
        <x:v>SH-02</x:v>
      </x:c>
      <x:c r="B42" s="26" t="str">
        <x:v>Approved services</x:v>
      </x:c>
      <x:c r="C42" s="26" t="str">
        <x:v>AI-007 Unregistered GenAI Usage</x:v>
      </x:c>
      <x:c r="D42" s="26" t="str">
        <x:v>Approved AI Tool Catalogue &amp; Vendor Allowlist</x:v>
      </x:c>
      <x:c r="E42" s="26" t="str">
        <x:v>Route employees toward reviewed AI services and prevent use of unknown providers for company work.</x:v>
      </x:c>
      <x:c r="F42" s="26" t="str">
        <x:v>Maintain a centrally approved catalogue linked to use/data restrictions. New public AI services, embedded AI features and material extensions require supplier/security/privacy/governance review before enterprise use.</x:v>
      </x:c>
      <x:c r="G42" s="26" t="str">
        <x:v>Preventive</x:v>
      </x:c>
      <x:c r="H42" s="26" t="str">
        <x:v>Percival Duckworth - Director Procurement &amp; Vendor Assurance</x:v>
      </x:c>
      <x:c r="I42" s="26" t="str">
        <x:v>Before granting access/procurement; quarterly catalogue review; on material supplier change</x:v>
      </x:c>
      <x:c r="J42" s="26" t="str">
        <x:v>Approved-tool catalogue; supplier review; approved use/data scope; expiry/renewal dates; exception records</x:v>
      </x:c>
      <x:c r="K42" s="26" t="str">
        <x:v>Compare discovered AI domains/apps against the approved catalogue and sample approvals for completed vendor/security/privacy review. Verify expired approvals are removed or renewed.</x:v>
      </x:c>
      <x:c r="L42" s="26" t="str">
        <x:v>SaaS discovery reconciliation; SSO/app catalogue; automated expiry and vendor-change alerts</x:v>
      </x:c>
      <x:c r="M42" s="26" t="str">
        <x:v>AI-007-R01; AI-007-R03</x:v>
      </x:c>
      <x:c r="N42" s="26" t="str">
        <x:v>NIST AI RMF: GOVERN / MAP / MANAGE; ISO/IEC 42001: external-provider and lifecycle governance; ISO/IEC 27001: supplier security; ISO/IEC 23894: third-party risk treatment; NIST AI 600-1 GenAI Profile</x:v>
      </x:c>
      <x:c r="O42" s="26" t="str">
        <x:v>Planned</x:v>
      </x:c>
      <x:c r="P42" s="14" t="str">
        <x:v>Planned - immediate containment priority</x:v>
      </x:c>
    </x:row>
    <x:row r="43">
      <x:c r="A43" s="26" t="str">
        <x:v>SH-03</x:v>
      </x:c>
      <x:c r="B43" s="26" t="str">
        <x:v>Shadow AI discovery</x:v>
      </x:c>
      <x:c r="C43" s="26" t="str">
        <x:v>AI-007 Unregistered GenAI Usage</x:v>
      </x:c>
      <x:c r="D43" s="26" t="str">
        <x:v>Shadow AI Discovery, DLP &amp; Blocking</x:v>
      </x:c>
      <x:c r="E43" s="26" t="str">
        <x:v>Detect and contain use of unapproved AI services and prevent sensitive uploads where technically feasible.</x:v>
      </x:c>
      <x:c r="F43" s="26" t="str">
        <x:v>Use proportionate network/SSE/CASB/browser/DLP telemetry to identify public AI use, classify exposure and block or coach sensitive-data uploads according to policy. Discovery results feed use-case decomposition and incident triage.</x:v>
      </x:c>
      <x:c r="G43" s="26" t="str">
        <x:v>Detective</x:v>
      </x:c>
      <x:c r="H43" s="26" t="str">
        <x:v>Cassandra Duckley - Chief Information Security Officer</x:v>
      </x:c>
      <x:c r="I43" s="26" t="str">
        <x:v>Continuous; daily triage; monthly trend review during containment</x:v>
      </x:c>
      <x:c r="J43" s="26" t="str">
        <x:v>Discovered-service inventory; DLP events; blocked attempts; investigation cases; exception decisions; trend dashboard</x:v>
      </x:c>
      <x:c r="K43" s="26" t="str">
        <x:v>Use approved synthetic files and test accounts to validate discovery and DLP coverage across representative web/SaaS paths. Confirm alerts route to accountable teams and false positives are managed.</x:v>
      </x:c>
      <x:c r="L43" s="26" t="str">
        <x:v>CASB/SSE/SWG/DLP discovery; browser telemetry; automated risk scoring and case creation</x:v>
      </x:c>
      <x:c r="M43" s="26" t="str">
        <x:v>AI-007-R01</x:v>
      </x:c>
      <x:c r="N43" s="26" t="str">
        <x:v>NIST AI RMF: MEASURE / MANAGE; NIST AI 600-1 GenAI Profile; ISO/IEC 27001: access control, data leakage prevention, logging and secure development; ENISA AI cybersecurity guidance; OWASP GenAI Security guidance</x:v>
      </x:c>
      <x:c r="O43" s="26" t="str">
        <x:v>Planned</x:v>
      </x:c>
      <x:c r="P43" s="14" t="str">
        <x:v>Planned - current technical enforcement is inconsistent</x:v>
      </x:c>
    </x:row>
    <x:row r="44">
      <x:c r="A44" s="26" t="str">
        <x:v>SH-04</x:v>
      </x:c>
      <x:c r="B44" s="26" t="str">
        <x:v>Endpoint / browser control</x:v>
      </x:c>
      <x:c r="C44" s="26" t="str">
        <x:v>AI-007 Unregistered GenAI Usage</x:v>
      </x:c>
      <x:c r="D44" s="26" t="str">
        <x:v>AI Browser Extension &amp; Embedded-App Control</x:v>
      </x:c>
      <x:c r="E44" s="26" t="str">
        <x:v>Prevent unreviewed AI extensions/agents from obtaining enterprise browser, identity or data access.</x:v>
      </x:c>
      <x:c r="F44" s="26" t="str">
        <x:v>Restrict installation/execution of unapproved AI browser extensions, desktop agents and embedded SaaS AI features. Maintain an exception mechanism with expiry and documented data/access scope.</x:v>
      </x:c>
      <x:c r="G44" s="26" t="str">
        <x:v>Preventive</x:v>
      </x:c>
      <x:c r="H44" s="26" t="str">
        <x:v>Oliver Duckett - Head of IT &amp; Cloud</x:v>
      </x:c>
      <x:c r="I44" s="26" t="str">
        <x:v>Continuous enforcement; monthly exception review</x:v>
      </x:c>
      <x:c r="J44" s="26" t="str">
        <x:v>Endpoint/browser policy; blocked-extension logs; approved extension list; exceptions and expiry dates</x:v>
      </x:c>
      <x:c r="K44" s="26" t="str">
        <x:v>Attempt installation of an unapproved test extension and verify blocking. Review exceptions for owner, scope, expiry and supplier assessment.</x:v>
      </x:c>
      <x:c r="L44" s="26" t="str">
        <x:v>Managed-browser allow/deny lists; endpoint management; SaaS feature-control APIs</x:v>
      </x:c>
      <x:c r="M44" s="26" t="str">
        <x:v>AI-007-R01; AI-007-R03</x:v>
      </x:c>
      <x:c r="N44" s="26" t="str">
        <x:v>NIST AI RMF: MEASURE / MANAGE; ISO/IEC 27001: access control, logging, incident management and secure development; ENISA AI cybersecurity guidance; NIST AI RMF: GOVERN / MAP / MANAGE; ISO/IEC 42001: external-provider and lifecycle governance; ISO/IEC 27001: supplier security; ISO/IEC 23894: third-party risk treatment</x:v>
      </x:c>
      <x:c r="O44" s="26" t="str">
        <x:v>Weak / Ad Hoc</x:v>
      </x:c>
      <x:c r="P44" s="14" t="str">
        <x:v>Weak / ad hoc - baseline notes only inconsistent browser/security controls</x:v>
      </x:c>
    </x:row>
    <x:row r="45">
      <x:c r="A45" s="26" t="str">
        <x:v>SH-05</x:v>
      </x:c>
      <x:c r="B45" s="26" t="str">
        <x:v>Accountability &amp; intake</x:v>
      </x:c>
      <x:c r="C45" s="26" t="str">
        <x:v>AI-007 Unregistered GenAI Usage</x:v>
      </x:c>
      <x:c r="D45" s="26" t="str">
        <x:v>Employee Attestation, Manager Accountability &amp; Mandatory Registration</x:v>
      </x:c>
      <x:c r="E45" s="26" t="str">
        <x:v>Identify hidden consequential AI use and ensure material use enters the formal governance process.</x:v>
      </x:c>
      <x:c r="F45" s="26" t="str">
        <x:v>Employees and managers periodically attest to AI use during containment. Material or consequential uses must be registered with purpose, data, provider and owner before continued reliance, then routed through normal assessment/approval.</x:v>
      </x:c>
      <x:c r="G45" s="26" t="str">
        <x:v>Detective</x:v>
      </x:c>
      <x:c r="H45" s="26" t="str">
        <x:v>Eleanor Duckford - AI Governance Lead</x:v>
      </x:c>
      <x:c r="I45" s="26" t="str">
        <x:v>Monthly during containment; quarterly target state; on newly discovered material use</x:v>
      </x:c>
      <x:c r="J45" s="26" t="str">
        <x:v>Attestation results; QuackTrack records; manager confirmations; overdue registrations; escalation records</x:v>
      </x:c>
      <x:c r="K45" s="26" t="str">
        <x:v>Reconcile attestation responses, procurement/SaaS discovery and DLP findings to QuackTrack. Verify materially distinct uses receive separate inventory entries and owners.</x:v>
      </x:c>
      <x:c r="L45" s="26" t="str">
        <x:v>Automated attestation workflow; reconciliation against SaaS/CASB telemetry; overdue reminders</x:v>
      </x:c>
      <x:c r="M45" s="26" t="str">
        <x:v>AI-007-R02</x:v>
      </x:c>
      <x:c r="N45" s="26" t="str">
        <x:v>NIST AI RMF: GOVERN / MANAGE; ISO/IEC 42001: governance, roles, lifecycle and continual improvement; ISO/IEC 23894: risk treatment and monitoring; NIST AI RMF: MAP / MEASURE / MANAGE; ISO/IEC 23894: risk analysis, treatment and monitoring</x:v>
      </x:c>
      <x:c r="O45" s="26" t="str">
        <x:v>Planned</x:v>
      </x:c>
      <x:c r="P45" s="14" t="str">
        <x:v>Planned - immediate containment priority</x:v>
      </x:c>
    </x:row>
    <x:row r="46">
      <x:c r="A46" s="26" t="str">
        <x:v>SH-06</x:v>
      </x:c>
      <x:c r="B46" s="26" t="str">
        <x:v>Containment &amp; remediation</x:v>
      </x:c>
      <x:c r="C46" s="26" t="str">
        <x:v>AI-007 Unregistered GenAI Usage</x:v>
      </x:c>
      <x:c r="D46" s="26" t="str">
        <x:v>Exposure Investigation, Decomposition &amp; Remediation</x:v>
      </x:c>
      <x:c r="E46" s="26" t="str">
        <x:v>Contain discovered shadow-AI exposure and convert each material use into an accountable governable record.</x:v>
      </x:c>
      <x:c r="F46" s="26" t="str">
        <x:v>For each discovered use, preserve evidence, determine whether confidential/personal/code/HR/customer data may have been exposed, stop or migrate unsafe use, create a separate inventory record, assign owners and run legal/privacy/security/risk review before any continued consequential use.</x:v>
      </x:c>
      <x:c r="G46" s="26" t="str">
        <x:v>Corrective</x:v>
      </x:c>
      <x:c r="H46" s="26" t="str">
        <x:v>Eleanor Duckford - AI Governance Lead</x:v>
      </x:c>
      <x:c r="I46" s="26" t="str">
        <x:v>Immediately per discovered material use; monthly closure review until containment complete</x:v>
      </x:c>
      <x:c r="J46" s="26" t="str">
        <x:v>Investigation record; affected data/provider/use; containment action; new AI inventory record; assigned owners; assessment/decision; remediation closure</x:v>
      </x:c>
      <x:c r="K46" s="26" t="str">
        <x:v>Sample discovered uses and trace end-to-end from detection to containment, exposure assessment, separate registration, ownership, specialist review and final decision. Verify unresolved exposures remain escalated.</x:v>
      </x:c>
      <x:c r="L46" s="26" t="str">
        <x:v>Case orchestration; automatic QuackTrack record creation from discovery events; evidence-preservation workflow</x:v>
      </x:c>
      <x:c r="M46" s="26" t="str">
        <x:v>AI-007-R01; AI-007-R02; AI-007-R03</x:v>
      </x:c>
      <x:c r="N46" s="26" t="str">
        <x:v>NIST AI RMF: GOVERN / MANAGE; ISO/IEC 42001: governance, roles, lifecycle and continual improvement; ISO/IEC 23894: risk treatment and monitoring; NIST AI RMF: MEASURE / MANAGE; NIST AI 600-1 GenAI Profile; ISO/IEC 27001: access control, data leakage prevention, logging and secure development; ENISA AI cybersecurity guidance; OWASP GenAI Security guidance</x:v>
      </x:c>
      <x:c r="O46" s="26" t="str">
        <x:v>Planned</x:v>
      </x:c>
      <x:c r="P46" s="14" t="str">
        <x:v>Planned - P0 containment; AI-007 remains Critical until operating evidence exists</x:v>
      </x:c>
    </x:row>
  </x:sheetData>
  <x:conditionalFormatting sqref="G2:G46">
    <x:cfRule type="expression" dxfId="0" priority="1">
      <x:formula>G2="Preventive"</x:formula>
    </x:cfRule>
    <x:cfRule type="expression" dxfId="1" priority="2">
      <x:formula>G2="Detective"</x:formula>
    </x:cfRule>
    <x:cfRule type="expression" dxfId="2" priority="3">
      <x:formula>G2="Corrective"</x:formula>
    </x:cfRule>
  </x:conditionalFormatting>
  <x:conditionalFormatting sqref="O2:O46">
    <x:cfRule type="expression" dxfId="12" priority="4">
      <x:formula>O2="Implemented"</x:formula>
    </x:cfRule>
    <x:cfRule type="expression" dxfId="13" priority="5">
      <x:formula>O2="Partially Implemented"</x:formula>
    </x:cfRule>
    <x:cfRule type="expression" dxfId="14" priority="6">
      <x:formula>O2="Planned"</x:formula>
    </x:cfRule>
    <x:cfRule type="expression" dxfId="15" priority="7">
      <x:formula>O2="Not Implemented"</x:formula>
    </x:cfRule>
    <x:cfRule type="expression" dxfId="16" priority="8">
      <x:formula>O2="Weak / Ad Hoc"</x:formula>
    </x:cfRule>
  </x:conditionalFormatting>
  <x:dataValidations count="2">
    <x:dataValidation type="list" sqref="G2:G46">
      <x:formula1>"Preventive,Detective,Corrective"</x:formula1>
    </x:dataValidation>
    <x:dataValidation type="list" sqref="O2:O46">
      <x:formula1>"Implemented,Partially Implemented,Planned,Not Implemented,Weak / Ad Hoc"</x:formula1>
    </x:dataValidation>
  </x:dataValidations>
  <x:pageMargins left="0.7" right="0.7" top="0.75" bottom="0.75" header="0.3" footer="0.3"/>
  <x:tableParts count="1">
    <x:tablePart xmlns:r="http://schemas.openxmlformats.org/officeDocument/2006/relationships" r:id="R9ecf01590e824e39"/>
  </x:tableParts>
</x:worksheet>
</file>

<file path=xl/worksheets/sheet3.xml><?xml version="1.0" encoding="utf-8"?>
<x:worksheet xmlns:x="http://schemas.openxmlformats.org/spreadsheetml/2006/main">
  <x:sheetFormatPr defaultRowHeight="15"/>
  <x:cols>
    <x:col min="1" max="1" width="14" hidden="0" customWidth="1"/>
    <x:col min="2" max="2" width="10" hidden="0" customWidth="1"/>
    <x:col min="3" max="3" width="24" hidden="0" customWidth="1"/>
    <x:col min="4" max="4" width="26" hidden="0" customWidth="1"/>
    <x:col min="5" max="5" width="60" hidden="0" customWidth="1"/>
    <x:col min="6" max="6" width="17" hidden="0" customWidth="1"/>
    <x:col min="7" max="7" width="32" hidden="0" customWidth="1"/>
    <x:col min="8" max="8" width="48" hidden="0" customWidth="1"/>
    <x:col min="9" max="9" width="13" hidden="0" customWidth="1"/>
    <x:col min="10" max="10" width="23" hidden="0" customWidth="1"/>
    <x:col min="11" max="11" width="55" hidden="0" customWidth="1"/>
  </x:cols>
  <x:sheetData>
    <x:row r="1">
      <x:c r="A1" s="25" t="str">
        <x:v>Risk ID</x:v>
      </x:c>
      <x:c r="B1" s="25" t="str">
        <x:v>AI ID</x:v>
      </x:c>
      <x:c r="C1" s="25" t="str">
        <x:v>System</x:v>
      </x:c>
      <x:c r="D1" s="25" t="str">
        <x:v>Risk Domain</x:v>
      </x:c>
      <x:c r="E1" s="25" t="str">
        <x:v>Material Risk Scenario</x:v>
      </x:c>
      <x:c r="F1" s="25" t="str">
        <x:v>Current Residual</x:v>
      </x:c>
      <x:c r="G1" s="25" t="str">
        <x:v>Current Gate</x:v>
      </x:c>
      <x:c r="H1" s="25" t="str">
        <x:v>Mapped Control IDs</x:v>
      </x:c>
      <x:c r="I1" s="25" t="str">
        <x:v>Control Count</x:v>
      </x:c>
      <x:c r="J1" s="25" t="str">
        <x:v>Coverage Assessment</x:v>
      </x:c>
      <x:c r="K1" s="25" t="str">
        <x:v>Implementation Observation</x:v>
      </x:c>
    </x:row>
    <x:row r="2">
      <x:c r="A2" s="26" t="str">
        <x:v>AI-001-R01</x:v>
      </x:c>
      <x:c r="B2" s="26" t="str">
        <x:v>AI-001</x:v>
      </x:c>
      <x:c r="C2" s="26" t="str">
        <x:v>DuckDesign AI</x:v>
      </x:c>
      <x:c r="D2" s="26" t="str">
        <x:v>Safety &amp; physical harm</x:v>
      </x:c>
      <x:c r="E2" s="26" t="str">
        <x:v>Incorrect or hallucinated engineering recommendation is accepted -&gt; unsafe design proceeds -&gt; product safety harm or costly rework.</x:v>
      </x:c>
      <x:c r="F2" s="26" t="str">
        <x:v>High (10)</x:v>
      </x:c>
      <x:c r="G2" s="26" t="str">
        <x:v>Restricted pilot only</x:v>
      </x:c>
      <x:c r="H2" s="26" t="str">
        <x:v>AI-GOV-01; AI-GOV-02; AI-INC-01; DD-01; DD-02; DD-03; DD-05</x:v>
      </x:c>
      <x:c r="I2" s="26" t="n">
        <x:v>7</x:v>
      </x:c>
      <x:c r="J2" s="26" t="str">
        <x:v>Covered - multiple controls</x:v>
      </x:c>
      <x:c r="K2" s="26" t="str">
        <x:v>Mix of baseline-credited and planned controls; planned controls must not be credited as current effectiveness.</x:v>
      </x:c>
    </x:row>
    <x:row r="3">
      <x:c r="A3" s="26" t="str">
        <x:v>AI-001-R02</x:v>
      </x:c>
      <x:c r="B3" s="26" t="str">
        <x:v>AI-001</x:v>
      </x:c>
      <x:c r="C3" s="26" t="str">
        <x:v>DuckDesign AI</x:v>
      </x:c>
      <x:c r="D3" s="26" t="str">
        <x:v>Privacy &amp; data governance</x:v>
      </x:c>
      <x:c r="E3" s="26" t="str">
        <x:v>Proprietary CAD/specifications are exposed to an external model/service -&gt; Duckworks IP is disclosed or reused.</x:v>
      </x:c>
      <x:c r="F3" s="26" t="str">
        <x:v>Moderate (8)</x:v>
      </x:c>
      <x:c r="G3" s="26" t="str">
        <x:v>Restricted pilot only</x:v>
      </x:c>
      <x:c r="H3" s="26" t="str">
        <x:v>AI-GOV-02; AI-TPR-01; AI-INC-01; DD-04</x:v>
      </x:c>
      <x:c r="I3" s="26" t="n">
        <x:v>4</x:v>
      </x:c>
      <x:c r="J3" s="26" t="str">
        <x:v>Covered - multiple controls</x:v>
      </x:c>
      <x:c r="K3" s="26" t="str">
        <x:v>Mix of baseline-credited and planned controls; planned controls must not be credited as current effectiveness.</x:v>
      </x:c>
    </x:row>
    <x:row r="4">
      <x:c r="A4" s="26" t="str">
        <x:v>AI-001-R03</x:v>
      </x:c>
      <x:c r="B4" s="26" t="str">
        <x:v>AI-001</x:v>
      </x:c>
      <x:c r="C4" s="26" t="str">
        <x:v>DuckDesign AI</x:v>
      </x:c>
      <x:c r="D4" s="26" t="str">
        <x:v>Reliability &amp; robustness</x:v>
      </x:c>
      <x:c r="E4" s="26" t="str">
        <x:v>Generated material/specification values are technically plausible but wrong -&gt; engineers use bad assumptions -&gt; design defects or rework occur.</x:v>
      </x:c>
      <x:c r="F4" s="26" t="str">
        <x:v>Moderate (8)</x:v>
      </x:c>
      <x:c r="G4" s="26" t="str">
        <x:v>Restricted pilot only</x:v>
      </x:c>
      <x:c r="H4" s="26" t="str">
        <x:v>AI-GOV-02; DD-01; DD-03; DD-05</x:v>
      </x:c>
      <x:c r="I4" s="26" t="n">
        <x:v>4</x:v>
      </x:c>
      <x:c r="J4" s="26" t="str">
        <x:v>Covered - multiple controls</x:v>
      </x:c>
      <x:c r="K4" s="26" t="str">
        <x:v>Mix of baseline-credited and planned controls; planned controls must not be credited as current effectiveness.</x:v>
      </x:c>
    </x:row>
    <x:row r="5">
      <x:c r="A5" s="26" t="str">
        <x:v>AI-002-R01</x:v>
      </x:c>
      <x:c r="B5" s="26" t="str">
        <x:v>AI-002</x:v>
      </x:c>
      <x:c r="C5" s="26" t="str">
        <x:v>QuackBot</x:v>
      </x:c>
      <x:c r="D5" s="26" t="str">
        <x:v>Reliability &amp; robustness</x:v>
      </x:c>
      <x:c r="E5" s="26" t="str">
        <x:v>Chatbot hallucinates troubleshooting or warranty guidance -&gt; customer acts on incorrect advice -&gt; customer harm, complaint or liability.</x:v>
      </x:c>
      <x:c r="F5" s="26" t="str">
        <x:v>High (12)</x:v>
      </x:c>
      <x:c r="G5" s="26" t="str">
        <x:v>Production blocked pending gates</x:v>
      </x:c>
      <x:c r="H5" s="26" t="str">
        <x:v>AI-GOV-01; QB-01; QB-02; QB-03; QB-06</x:v>
      </x:c>
      <x:c r="I5" s="26" t="n">
        <x:v>5</x:v>
      </x:c>
      <x:c r="J5" s="26" t="str">
        <x:v>Covered - multiple controls</x:v>
      </x:c>
      <x:c r="K5" s="26" t="str">
        <x:v>Mix of baseline-credited and planned controls; planned controls must not be credited as current effectiveness.</x:v>
      </x:c>
    </x:row>
    <x:row r="6">
      <x:c r="A6" s="26" t="str">
        <x:v>AI-002-R02</x:v>
      </x:c>
      <x:c r="B6" s="26" t="str">
        <x:v>AI-002</x:v>
      </x:c>
      <x:c r="C6" s="26" t="str">
        <x:v>QuackBot</x:v>
      </x:c>
      <x:c r="D6" s="26" t="str">
        <x:v>Security &amp; adversarial manipulation</x:v>
      </x:c>
      <x:c r="E6" s="26" t="str">
        <x:v>Prompt injection or malicious content manipulates retrieval/tool behavior -&gt; restricted information is exposed or unsafe actions are suggested.</x:v>
      </x:c>
      <x:c r="F6" s="26" t="str">
        <x:v>High (12)</x:v>
      </x:c>
      <x:c r="G6" s="26" t="str">
        <x:v>Production blocked pending gates</x:v>
      </x:c>
      <x:c r="H6" s="26" t="str">
        <x:v>AI-TPR-01; AI-INC-01; QB-04; QB-05; QB-06</x:v>
      </x:c>
      <x:c r="I6" s="26" t="n">
        <x:v>5</x:v>
      </x:c>
      <x:c r="J6" s="26" t="str">
        <x:v>Covered - multiple controls</x:v>
      </x:c>
      <x:c r="K6" s="26" t="str">
        <x:v>Mix of baseline-credited and planned controls; planned controls must not be credited as current effectiveness.</x:v>
      </x:c>
    </x:row>
    <x:row r="7">
      <x:c r="A7" s="26" t="str">
        <x:v>AI-002-R03</x:v>
      </x:c>
      <x:c r="B7" s="26" t="str">
        <x:v>AI-002</x:v>
      </x:c>
      <x:c r="C7" s="26" t="str">
        <x:v>QuackBot</x:v>
      </x:c>
      <x:c r="D7" s="26" t="str">
        <x:v>Legal / compliance</x:v>
      </x:c>
      <x:c r="E7" s="26" t="str">
        <x:v>Chatbot gives incorrect warranty or consumer-rights statements -&gt; customers receive misleading information -&gt; legal, complaint or reputational consequences.</x:v>
      </x:c>
      <x:c r="F7" s="26" t="str">
        <x:v>Moderate (9)</x:v>
      </x:c>
      <x:c r="G7" s="26" t="str">
        <x:v>Production blocked pending gates</x:v>
      </x:c>
      <x:c r="H7" s="26" t="str">
        <x:v>AI-GOV-01; QB-01; QB-02; QB-03</x:v>
      </x:c>
      <x:c r="I7" s="26" t="n">
        <x:v>4</x:v>
      </x:c>
      <x:c r="J7" s="26" t="str">
        <x:v>Covered - multiple controls</x:v>
      </x:c>
      <x:c r="K7" s="26" t="str">
        <x:v>Mix of baseline-credited and planned controls; planned controls must not be credited as current effectiveness.</x:v>
      </x:c>
    </x:row>
    <x:row r="8">
      <x:c r="A8" s="26" t="str">
        <x:v>AI-003-R01</x:v>
      </x:c>
      <x:c r="B8" s="26" t="str">
        <x:v>AI-003</x:v>
      </x:c>
      <x:c r="C8" s="26" t="str">
        <x:v>FeatherForecast</x:v>
      </x:c>
      <x:c r="D8" s="26" t="str">
        <x:v>Operational / financial</x:v>
      </x:c>
      <x:c r="E8" s="26" t="str">
        <x:v>Forecast error materially under- or over-estimates demand -&gt; poor procurement/production decisions -&gt; stockout, excess inventory or service impact.</x:v>
      </x:c>
      <x:c r="F8" s="26" t="str">
        <x:v>Moderate (6)</x:v>
      </x:c>
      <x:c r="G8" s="26" t="str">
        <x:v>Continue with monitoring</x:v>
      </x:c>
      <x:c r="H8" s="26" t="str">
        <x:v>FF-01; FF-02</x:v>
      </x:c>
      <x:c r="I8" s="26" t="n">
        <x:v>2</x:v>
      </x:c>
      <x:c r="J8" s="26" t="str">
        <x:v>Covered - multiple controls</x:v>
      </x:c>
      <x:c r="K8" s="26" t="str">
        <x:v>Mature production baseline has operating controls; target automation/assurance enhancements remain.</x:v>
      </x:c>
    </x:row>
    <x:row r="9">
      <x:c r="A9" s="26" t="str">
        <x:v>AI-003-R02</x:v>
      </x:c>
      <x:c r="B9" s="26" t="str">
        <x:v>AI-003</x:v>
      </x:c>
      <x:c r="C9" s="26" t="str">
        <x:v>FeatherForecast</x:v>
      </x:c>
      <x:c r="D9" s="26" t="str">
        <x:v>Reliability &amp; robustness</x:v>
      </x:c>
      <x:c r="E9" s="26" t="str">
        <x:v>Market or supplier conditions shift -&gt; model drift is not detected promptly -&gt; degraded forecasts persist.</x:v>
      </x:c>
      <x:c r="F9" s="26" t="str">
        <x:v>Moderate (6)</x:v>
      </x:c>
      <x:c r="G9" s="26" t="str">
        <x:v>Continue with monitoring</x:v>
      </x:c>
      <x:c r="H9" s="26" t="str">
        <x:v>AI-GOV-02; FF-02; FF-03</x:v>
      </x:c>
      <x:c r="I9" s="26" t="n">
        <x:v>3</x:v>
      </x:c>
      <x:c r="J9" s="26" t="str">
        <x:v>Covered - multiple controls</x:v>
      </x:c>
      <x:c r="K9" s="26" t="str">
        <x:v>Mature production baseline has operating controls; target automation/assurance enhancements remain.</x:v>
      </x:c>
    </x:row>
    <x:row r="10">
      <x:c r="A10" s="26" t="str">
        <x:v>AI-003-R03</x:v>
      </x:c>
      <x:c r="B10" s="26" t="str">
        <x:v>AI-003</x:v>
      </x:c>
      <x:c r="C10" s="26" t="str">
        <x:v>FeatherForecast</x:v>
      </x:c>
      <x:c r="D10" s="26" t="str">
        <x:v>Privacy &amp; data governance</x:v>
      </x:c>
      <x:c r="E10" s="26" t="str">
        <x:v>Supplier or confidential planning data is exposed through analytics access or integration -&gt; commercial information leakage.</x:v>
      </x:c>
      <x:c r="F10" s="26" t="str">
        <x:v>Low (3)</x:v>
      </x:c>
      <x:c r="G10" s="26" t="str">
        <x:v>Continue with monitoring</x:v>
      </x:c>
      <x:c r="H10" s="26" t="str">
        <x:v>FF-04; AI-INC-01</x:v>
      </x:c>
      <x:c r="I10" s="26" t="n">
        <x:v>2</x:v>
      </x:c>
      <x:c r="J10" s="26" t="str">
        <x:v>Covered - multiple controls</x:v>
      </x:c>
      <x:c r="K10" s="26" t="str">
        <x:v>Mature production baseline has operating controls; target automation/assurance enhancements remain.</x:v>
      </x:c>
    </x:row>
    <x:row r="11">
      <x:c r="A11" s="26" t="str">
        <x:v>AI-004-R01</x:v>
      </x:c>
      <x:c r="B11" s="26" t="str">
        <x:v>AI-004</x:v>
      </x:c>
      <x:c r="C11" s="26" t="str">
        <x:v>WingInspect Vision</x:v>
      </x:c>
      <x:c r="D11" s="26" t="str">
        <x:v>Safety &amp; physical harm</x:v>
      </x:c>
      <x:c r="E11" s="26" t="str">
        <x:v>Model misses a true defect -&gt; defective component is not flagged -&gt; unsafe product could progress toward release.</x:v>
      </x:c>
      <x:c r="F11" s="26" t="str">
        <x:v>High (10)</x:v>
      </x:c>
      <x:c r="G11" s="26" t="str">
        <x:v>Restricted pilot only</x:v>
      </x:c>
      <x:c r="H11" s="26" t="str">
        <x:v>AI-GOV-01; AI-INC-01; WI-01; WI-02; WI-03; WI-04</x:v>
      </x:c>
      <x:c r="I11" s="26" t="n">
        <x:v>6</x:v>
      </x:c>
      <x:c r="J11" s="26" t="str">
        <x:v>Covered - multiple controls</x:v>
      </x:c>
      <x:c r="K11" s="26" t="str">
        <x:v>Mix of baseline-credited and planned controls; planned controls must not be credited as current effectiveness.</x:v>
      </x:c>
    </x:row>
    <x:row r="12">
      <x:c r="A12" s="26" t="str">
        <x:v>AI-004-R02</x:v>
      </x:c>
      <x:c r="B12" s="26" t="str">
        <x:v>AI-004</x:v>
      </x:c>
      <x:c r="C12" s="26" t="str">
        <x:v>WingInspect Vision</x:v>
      </x:c>
      <x:c r="D12" s="26" t="str">
        <x:v>Operational / financial</x:v>
      </x:c>
      <x:c r="E12" s="26" t="str">
        <x:v>False positives incorrectly flag good components -&gt; unnecessary scrap/rework -&gt; manufacturing cost and delay.</x:v>
      </x:c>
      <x:c r="F12" s="26" t="str">
        <x:v>Moderate (6)</x:v>
      </x:c>
      <x:c r="G12" s="26" t="str">
        <x:v>Restricted pilot only</x:v>
      </x:c>
      <x:c r="H12" s="26" t="str">
        <x:v>WI-01; WI-05</x:v>
      </x:c>
      <x:c r="I12" s="26" t="n">
        <x:v>2</x:v>
      </x:c>
      <x:c r="J12" s="26" t="str">
        <x:v>Covered - multiple controls</x:v>
      </x:c>
      <x:c r="K12" s="26" t="str">
        <x:v>Mix of baseline-credited and planned controls; planned controls must not be credited as current effectiveness.</x:v>
      </x:c>
    </x:row>
    <x:row r="13">
      <x:c r="A13" s="26" t="str">
        <x:v>AI-004-R03</x:v>
      </x:c>
      <x:c r="B13" s="26" t="str">
        <x:v>AI-004</x:v>
      </x:c>
      <x:c r="C13" s="26" t="str">
        <x:v>WingInspect Vision</x:v>
      </x:c>
      <x:c r="D13" s="26" t="str">
        <x:v>Reliability &amp; robustness</x:v>
      </x:c>
      <x:c r="E13" s="26" t="str">
        <x:v>Camera or product-line changes create distribution shift -&gt; detection performance degrades unnoticed -&gt; defect escape rate rises.</x:v>
      </x:c>
      <x:c r="F13" s="26" t="str">
        <x:v>Moderate (8)</x:v>
      </x:c>
      <x:c r="G13" s="26" t="str">
        <x:v>Restricted pilot only</x:v>
      </x:c>
      <x:c r="H13" s="26" t="str">
        <x:v>AI-GOV-02; WI-03; WI-06</x:v>
      </x:c>
      <x:c r="I13" s="26" t="n">
        <x:v>3</x:v>
      </x:c>
      <x:c r="J13" s="26" t="str">
        <x:v>Covered - multiple controls</x:v>
      </x:c>
      <x:c r="K13" s="26" t="str">
        <x:v>Mix of baseline-credited and planned controls; planned controls must not be credited as current effectiveness.</x:v>
      </x:c>
    </x:row>
    <x:row r="14">
      <x:c r="A14" s="26" t="str">
        <x:v>AI-005-R01</x:v>
      </x:c>
      <x:c r="B14" s="26" t="str">
        <x:v>AI-005</x:v>
      </x:c>
      <x:c r="C14" s="26" t="str">
        <x:v>DuckTalent AI</x:v>
      </x:c>
      <x:c r="D14" s="26" t="str">
        <x:v>Fundamental rights &amp; fairness</x:v>
      </x:c>
      <x:c r="E14" s="26" t="str">
        <x:v>Training data or features encode historical/proxy bias -&gt; ranking disadvantages a protected group -&gt; discriminatory access to employment.</x:v>
      </x:c>
      <x:c r="F14" s="26" t="str">
        <x:v>Critical (20)</x:v>
      </x:c>
      <x:c r="G14" s="26" t="str">
        <x:v>Do not deploy in current state</x:v>
      </x:c>
      <x:c r="H14" s="26" t="str">
        <x:v>AI-GOV-01; AI-TPR-01; DT-01; DT-02; DT-07</x:v>
      </x:c>
      <x:c r="I14" s="26" t="n">
        <x:v>5</x:v>
      </x:c>
      <x:c r="J14" s="26" t="str">
        <x:v>Covered - multiple controls</x:v>
      </x:c>
      <x:c r="K14" s="26" t="str">
        <x:v>Controls are predominantly not implemented; deployment remains blocked.</x:v>
      </x:c>
    </x:row>
    <x:row r="15">
      <x:c r="A15" s="26" t="str">
        <x:v>AI-005-R02</x:v>
      </x:c>
      <x:c r="B15" s="26" t="str">
        <x:v>AI-005</x:v>
      </x:c>
      <x:c r="C15" s="26" t="str">
        <x:v>DuckTalent AI</x:v>
      </x:c>
      <x:c r="D15" s="26" t="str">
        <x:v>Human oversight &amp; automation bias</x:v>
      </x:c>
      <x:c r="E15" s="26" t="str">
        <x:v>Recruiters over-rely on rankings/summaries -&gt; flawed AI recommendation becomes the de facto decision -&gt; qualified candidates are unfairly screened out.</x:v>
      </x:c>
      <x:c r="F15" s="26" t="str">
        <x:v>High (16)</x:v>
      </x:c>
      <x:c r="G15" s="26" t="str">
        <x:v>Do not deploy in current state</x:v>
      </x:c>
      <x:c r="H15" s="26" t="str">
        <x:v>AI-GOV-01; DT-03; DT-04; DT-07</x:v>
      </x:c>
      <x:c r="I15" s="26" t="n">
        <x:v>4</x:v>
      </x:c>
      <x:c r="J15" s="26" t="str">
        <x:v>Covered - multiple controls</x:v>
      </x:c>
      <x:c r="K15" s="26" t="str">
        <x:v>Controls are predominantly not implemented; deployment remains blocked.</x:v>
      </x:c>
    </x:row>
    <x:row r="16">
      <x:c r="A16" s="26" t="str">
        <x:v>AI-005-R03</x:v>
      </x:c>
      <x:c r="B16" s="26" t="str">
        <x:v>AI-005</x:v>
      </x:c>
      <x:c r="C16" s="26" t="str">
        <x:v>DuckTalent AI</x:v>
      </x:c>
      <x:c r="D16" s="26" t="str">
        <x:v>Privacy &amp; data governance</x:v>
      </x:c>
      <x:c r="E16" s="26" t="str">
        <x:v>CV/application data contains sensitive attributes or proxies -&gt; unnecessary inference or use occurs -&gt; privacy and discrimination exposure.</x:v>
      </x:c>
      <x:c r="F16" s="26" t="str">
        <x:v>High (12)</x:v>
      </x:c>
      <x:c r="G16" s="26" t="str">
        <x:v>Do not deploy in current state</x:v>
      </x:c>
      <x:c r="H16" s="26" t="str">
        <x:v>AI-TPR-01; AI-INC-01; DT-05; DT-06</x:v>
      </x:c>
      <x:c r="I16" s="26" t="n">
        <x:v>4</x:v>
      </x:c>
      <x:c r="J16" s="26" t="str">
        <x:v>Covered - multiple controls</x:v>
      </x:c>
      <x:c r="K16" s="26" t="str">
        <x:v>Controls are predominantly not implemented; deployment remains blocked.</x:v>
      </x:c>
    </x:row>
    <x:row r="17">
      <x:c r="A17" s="26" t="str">
        <x:v>AI-006-R01</x:v>
      </x:c>
      <x:c r="B17" s="26" t="str">
        <x:v>AI-006</x:v>
      </x:c>
      <x:c r="C17" s="26" t="str">
        <x:v>PondGPT</x:v>
      </x:c>
      <x:c r="D17" s="26" t="str">
        <x:v>Privacy &amp; data governance</x:v>
      </x:c>
      <x:c r="E17" s="26" t="str">
        <x:v>Permission or retrieval configuration failure exposes restricted internal information -&gt; an unauthorized employee receives sensitive, IP or customer data.</x:v>
      </x:c>
      <x:c r="F17" s="26" t="str">
        <x:v>High (12)</x:v>
      </x:c>
      <x:c r="G17" s="26" t="str">
        <x:v>Restricted pilot only</x:v>
      </x:c>
      <x:c r="H17" s="26" t="str">
        <x:v>AI-TPR-01; AI-INC-01; PG-01; PG-02; PG-05</x:v>
      </x:c>
      <x:c r="I17" s="26" t="n">
        <x:v>5</x:v>
      </x:c>
      <x:c r="J17" s="26" t="str">
        <x:v>Covered - multiple controls</x:v>
      </x:c>
      <x:c r="K17" s="26" t="str">
        <x:v>Mix of baseline-credited and planned controls; planned controls must not be credited as current effectiveness.</x:v>
      </x:c>
    </x:row>
    <x:row r="18">
      <x:c r="A18" s="26" t="str">
        <x:v>AI-006-R02</x:v>
      </x:c>
      <x:c r="B18" s="26" t="str">
        <x:v>AI-006</x:v>
      </x:c>
      <x:c r="C18" s="26" t="str">
        <x:v>PondGPT</x:v>
      </x:c>
      <x:c r="D18" s="26" t="str">
        <x:v>Security &amp; adversarial manipulation</x:v>
      </x:c>
      <x:c r="E18" s="26" t="str">
        <x:v>Prompt injection or poisoned retrieved content manipulates the assistant -&gt; unsafe output, data exfiltration or tool misuse occurs.</x:v>
      </x:c>
      <x:c r="F18" s="26" t="str">
        <x:v>High (12)</x:v>
      </x:c>
      <x:c r="G18" s="26" t="str">
        <x:v>Restricted pilot only</x:v>
      </x:c>
      <x:c r="H18" s="26" t="str">
        <x:v>AI-INC-01; PG-03; PG-04; PG-05</x:v>
      </x:c>
      <x:c r="I18" s="26" t="n">
        <x:v>4</x:v>
      </x:c>
      <x:c r="J18" s="26" t="str">
        <x:v>Covered - multiple controls</x:v>
      </x:c>
      <x:c r="K18" s="26" t="str">
        <x:v>Mix of baseline-credited and planned controls; planned controls must not be credited as current effectiveness.</x:v>
      </x:c>
    </x:row>
    <x:row r="19">
      <x:c r="A19" s="26" t="str">
        <x:v>AI-006-R03</x:v>
      </x:c>
      <x:c r="B19" s="26" t="str">
        <x:v>AI-006</x:v>
      </x:c>
      <x:c r="C19" s="26" t="str">
        <x:v>PondGPT</x:v>
      </x:c>
      <x:c r="D19" s="26" t="str">
        <x:v>Reliability &amp; robustness</x:v>
      </x:c>
      <x:c r="E19" s="26" t="str">
        <x:v>Employee uses hallucinated code or operational guidance without verification -&gt; vulnerable code or an incorrect business action is introduced.</x:v>
      </x:c>
      <x:c r="F19" s="26" t="str">
        <x:v>High (12)</x:v>
      </x:c>
      <x:c r="G19" s="26" t="str">
        <x:v>Restricted pilot only</x:v>
      </x:c>
      <x:c r="H19" s="26" t="str">
        <x:v>PG-05; PG-06</x:v>
      </x:c>
      <x:c r="I19" s="26" t="n">
        <x:v>2</x:v>
      </x:c>
      <x:c r="J19" s="26" t="str">
        <x:v>Covered - multiple controls</x:v>
      </x:c>
      <x:c r="K19" s="26" t="str">
        <x:v>Mix of baseline-credited and planned controls; planned controls must not be credited as current effectiveness.</x:v>
      </x:c>
    </x:row>
    <x:row r="20">
      <x:c r="A20" s="26" t="str">
        <x:v>AI-007-R01</x:v>
      </x:c>
      <x:c r="B20" s="26" t="str">
        <x:v>AI-007</x:v>
      </x:c>
      <x:c r="C20" s="26" t="str">
        <x:v>Unregistered GenAI Usage</x:v>
      </x:c>
      <x:c r="D20" s="26" t="str">
        <x:v>Privacy &amp; data governance</x:v>
      </x:c>
      <x:c r="E20" s="26" t="str">
        <x:v>Employee uploads confidential, IP or personal data to unapproved public AI -&gt; provider retention/training or unauthorized access causes disclosure.</x:v>
      </x:c>
      <x:c r="F20" s="26" t="str">
        <x:v>Critical (20)</x:v>
      </x:c>
      <x:c r="G20" s="26" t="str">
        <x:v>Immediate containment and decomposition</x:v>
      </x:c>
      <x:c r="H20" s="26" t="str">
        <x:v>AI-INC-01; SH-01; SH-02; SH-03; SH-04; SH-06</x:v>
      </x:c>
      <x:c r="I20" s="26" t="n">
        <x:v>6</x:v>
      </x:c>
      <x:c r="J20" s="26" t="str">
        <x:v>Covered - multiple controls</x:v>
      </x:c>
      <x:c r="K20" s="26" t="str">
        <x:v>Containment controls are largely planned/weak; AI-007 remains a discovery condition requiring decomposition.</x:v>
      </x:c>
    </x:row>
    <x:row r="21">
      <x:c r="A21" s="26" t="str">
        <x:v>AI-007-R02</x:v>
      </x:c>
      <x:c r="B21" s="26" t="str">
        <x:v>AI-007</x:v>
      </x:c>
      <x:c r="C21" s="26" t="str">
        <x:v>Unregistered GenAI Usage</x:v>
      </x:c>
      <x:c r="D21" s="26" t="str">
        <x:v>Legal / compliance</x:v>
      </x:c>
      <x:c r="E21" s="26" t="str">
        <x:v>Unregistered AI is used in HR, customer or another consequential process -&gt; applicable requirements are not identified -&gt; unlawful or uncontrolled decision support.</x:v>
      </x:c>
      <x:c r="F21" s="26" t="str">
        <x:v>High (15)</x:v>
      </x:c>
      <x:c r="G21" s="26" t="str">
        <x:v>Immediate containment and decomposition</x:v>
      </x:c>
      <x:c r="H21" s="26" t="str">
        <x:v>AI-GOV-01; SH-01; SH-05; SH-06</x:v>
      </x:c>
      <x:c r="I21" s="26" t="n">
        <x:v>4</x:v>
      </x:c>
      <x:c r="J21" s="26" t="str">
        <x:v>Covered - multiple controls</x:v>
      </x:c>
      <x:c r="K21" s="26" t="str">
        <x:v>Containment controls are largely planned/weak; AI-007 remains a discovery condition requiring decomposition.</x:v>
      </x:c>
    </x:row>
    <x:row r="22">
      <x:c r="A22" s="26" t="str">
        <x:v>AI-007-R03</x:v>
      </x:c>
      <x:c r="B22" s="26" t="str">
        <x:v>AI-007</x:v>
      </x:c>
      <x:c r="C22" s="26" t="str">
        <x:v>Unregistered GenAI Usage</x:v>
      </x:c>
      <x:c r="D22" s="26" t="str">
        <x:v>Third-party &amp; supply chain</x:v>
      </x:c>
      <x:c r="E22" s="26" t="str">
        <x:v>Unknown vendors, extensions or plugins process company data under unknown retention/security/service-change terms -&gt; unmanaged third-party exposure persists.</x:v>
      </x:c>
      <x:c r="F22" s="26" t="str">
        <x:v>High (16)</x:v>
      </x:c>
      <x:c r="G22" s="26" t="str">
        <x:v>Immediate containment and decomposition</x:v>
      </x:c>
      <x:c r="H22" s="26" t="str">
        <x:v>AI-TPR-01; SH-02; SH-04; SH-06</x:v>
      </x:c>
      <x:c r="I22" s="26" t="n">
        <x:v>4</x:v>
      </x:c>
      <x:c r="J22" s="26" t="str">
        <x:v>Covered - multiple controls</x:v>
      </x:c>
      <x:c r="K22" s="26" t="str">
        <x:v>Containment controls are largely planned/weak; AI-007 remains a discovery condition requiring decomposition.</x:v>
      </x:c>
    </x:row>
  </x:sheetData>
  <x:conditionalFormatting sqref="F2:F22">
    <x:cfRule type="expression" dxfId="8" priority="1">
      <x:formula>LEFT(F2,8)="Critical"</x:formula>
    </x:cfRule>
    <x:cfRule type="expression" dxfId="9" priority="2">
      <x:formula>LEFT(F2,4)="High"</x:formula>
    </x:cfRule>
    <x:cfRule type="expression" dxfId="10" priority="3">
      <x:formula>LEFT(F2,8)="Moderate"</x:formula>
    </x:cfRule>
    <x:cfRule type="expression" dxfId="11" priority="4">
      <x:formula>LEFT(F2,3)="Low"</x:formula>
    </x:cfRule>
  </x:conditionalFormatting>
  <x:pageMargins left="0.7" right="0.7" top="0.75" bottom="0.75" header="0.3" footer="0.3"/>
  <x:tableParts count="1">
    <x:tablePart xmlns:r="http://schemas.openxmlformats.org/officeDocument/2006/relationships" r:id="Rc531716b6f2e4df5"/>
  </x:tableParts>
</x:worksheet>
</file>

<file path=xl/worksheets/sheet4.xml><?xml version="1.0" encoding="utf-8"?>
<x:worksheet xmlns:x="http://schemas.openxmlformats.org/spreadsheetml/2006/main">
  <x:sheetFormatPr defaultRowHeight="15"/>
  <x:cols>
    <x:col min="1" max="1" width="40" hidden="0" customWidth="1"/>
    <x:col min="2" max="2" width="30" hidden="0" customWidth="1"/>
    <x:col min="3" max="3" width="70" hidden="0" customWidth="1"/>
    <x:col min="4" max="4" width="65" hidden="0" customWidth="1"/>
    <x:col min="5" max="5" width="65" hidden="0" customWidth="1"/>
  </x:cols>
  <x:sheetData>
    <x:row r="1">
      <x:c r="A1" s="25" t="str">
        <x:v>Framework / Guidance</x:v>
      </x:c>
      <x:c r="B1" s="25" t="str">
        <x:v>Classification</x:v>
      </x:c>
      <x:c r="C1" s="25" t="str">
        <x:v>Use in Control Mapping</x:v>
      </x:c>
      <x:c r="D1" s="25" t="str">
        <x:v>Official Source URL</x:v>
      </x:c>
      <x:c r="E1" s="25" t="str">
        <x:v>Mapping Boundary</x:v>
      </x:c>
    </x:row>
    <x:row r="2">
      <x:c r="A2" s="26" t="str">
        <x:v>NIST AI Risk Management Framework (AI RMF 1.0)</x:v>
      </x:c>
      <x:c r="B2" s="26" t="str">
        <x:v>Voluntary framework</x:v>
      </x:c>
      <x:c r="C2" s="26" t="str">
        <x:v>Governance, context, measurement and risk management functions (GOVERN, MAP, MEASURE, MANAGE)</x:v>
      </x:c>
      <x:c r="D2" s="26" t="str">
        <x:v>https://www.nist.gov/itl/ai-risk-management-framework</x:v>
      </x:c>
      <x:c r="E2" s="26" t="str">
        <x:v>Mapping indicates governance/control relevance only; it does not establish legal compliance, certification, conformity or applicability.</x:v>
      </x:c>
    </x:row>
    <x:row r="3">
      <x:c r="A3" s="26" t="str">
        <x:v>NIST AI 600-1 - Generative AI Profile</x:v>
      </x:c>
      <x:c r="B3" s="26" t="str">
        <x:v>Voluntary NIST profile</x:v>
      </x:c>
      <x:c r="C3" s="26" t="str">
        <x:v>GenAI-specific risk analysis and treatments for systems such as QuackBot, PondGPT, DuckDesign and shadow GenAI</x:v>
      </x:c>
      <x:c r="D3" s="26" t="str">
        <x:v>https://nvlpubs.nist.gov/nistpubs/ai/NIST.AI.600-1.pdf</x:v>
      </x:c>
      <x:c r="E3" s="26" t="str">
        <x:v>Mapping indicates governance/control relevance only; it does not establish legal compliance, certification, conformity or applicability.</x:v>
      </x:c>
    </x:row>
    <x:row r="4">
      <x:c r="A4" s="26" t="str">
        <x:v>ISO/IEC 42001:2023</x:v>
      </x:c>
      <x:c r="B4" s="26" t="str">
        <x:v>Management-system requirements standard</x:v>
      </x:c>
      <x:c r="C4" s="26" t="str">
        <x:v>AI management-system governance, accountability, lifecycle controls and continual improvement; mappings are topic-level only</x:v>
      </x:c>
      <x:c r="D4" s="26" t="str">
        <x:v>https://www.iso.org/standard/42001</x:v>
      </x:c>
      <x:c r="E4" s="26" t="str">
        <x:v>Mapping indicates governance/control relevance only; it does not establish legal compliance, certification, conformity or applicability.</x:v>
      </x:c>
    </x:row>
    <x:row r="5">
      <x:c r="A5" s="26" t="str">
        <x:v>ISO/IEC 23894:2023</x:v>
      </x:c>
      <x:c r="B5" s="26" t="str">
        <x:v>Voluntary guidance standard</x:v>
      </x:c>
      <x:c r="C5" s="26" t="str">
        <x:v>AI risk identification, analysis, treatment and monitoring</x:v>
      </x:c>
      <x:c r="D5" s="26" t="str">
        <x:v>https://www.iso.org/standard/77304.html</x:v>
      </x:c>
      <x:c r="E5" s="26" t="str">
        <x:v>Mapping indicates governance/control relevance only; it does not establish legal compliance, certification, conformity or applicability.</x:v>
      </x:c>
    </x:row>
    <x:row r="6">
      <x:c r="A6" s="26" t="str">
        <x:v>ISO/IEC 42005:2025</x:v>
      </x:c>
      <x:c r="B6" s="26" t="str">
        <x:v>Voluntary guidance standard</x:v>
      </x:c>
      <x:c r="C6" s="26" t="str">
        <x:v>AI system impact assessment and affected-person/stakeholder impact thinking</x:v>
      </x:c>
      <x:c r="D6" s="26" t="str">
        <x:v>https://www.iso.org/standard/42005</x:v>
      </x:c>
      <x:c r="E6" s="26" t="str">
        <x:v>Mapping indicates governance/control relevance only; it does not establish legal compliance, certification, conformity or applicability.</x:v>
      </x:c>
    </x:row>
    <x:row r="7">
      <x:c r="A7" s="26" t="str">
        <x:v>ISO/IEC 27001:2022</x:v>
      </x:c>
      <x:c r="B7" s="26" t="str">
        <x:v>Information security management-system requirements standard</x:v>
      </x:c>
      <x:c r="C7" s="26" t="str">
        <x:v>Information-security governance, access control, supplier security, logging, secure development and incident management around AI</x:v>
      </x:c>
      <x:c r="D7" s="26" t="str">
        <x:v>https://www.iso.org/standard/27001</x:v>
      </x:c>
      <x:c r="E7" s="26" t="str">
        <x:v>Mapping indicates governance/control relevance only; it does not establish legal compliance, certification, conformity or applicability.</x:v>
      </x:c>
    </x:row>
    <x:row r="8">
      <x:c r="A8" s="26" t="str">
        <x:v>ISO 31000:2018</x:v>
      </x:c>
      <x:c r="B8" s="26" t="str">
        <x:v>Voluntary risk-management guidance</x:v>
      </x:c>
      <x:c r="C8" s="26" t="str">
        <x:v>Enterprise/operational risk principles used for proportional treatment and monitoring</x:v>
      </x:c>
      <x:c r="D8" s="26" t="str">
        <x:v>https://www.iso.org/standard/65694.html</x:v>
      </x:c>
      <x:c r="E8" s="26" t="str">
        <x:v>Mapping indicates governance/control relevance only; it does not establish legal compliance, certification, conformity or applicability.</x:v>
      </x:c>
    </x:row>
    <x:row r="9">
      <x:c r="A9" s="26" t="str">
        <x:v>ENISA - Multilayer Framework for Good Cybersecurity Practices for AI</x:v>
      </x:c>
      <x:c r="B9" s="26" t="str">
        <x:v>Official EU agency guidance</x:v>
      </x:c>
      <x:c r="C9" s="26" t="str">
        <x:v>AI cybersecurity threat/control design across lifecycle layers</x:v>
      </x:c>
      <x:c r="D9" s="26" t="str">
        <x:v>https://www.enisa.europa.eu/publications/multilayer-framework-for-good-cybersecurity-practices-for-ai</x:v>
      </x:c>
      <x:c r="E9" s="26" t="str">
        <x:v>Mapping indicates governance/control relevance only; it does not establish legal compliance, certification, conformity or applicability.</x:v>
      </x:c>
    </x:row>
    <x:row r="10">
      <x:c r="A10" s="26" t="str">
        <x:v>OWASP GenAI Security Project</x:v>
      </x:c>
      <x:c r="B10" s="26" t="str">
        <x:v>Recognized technical guidance</x:v>
      </x:c>
      <x:c r="C10" s="26" t="str">
        <x:v>Practical GenAI security design/testing for injection, sensitive information, excessive agency and related application risks</x:v>
      </x:c>
      <x:c r="D10" s="26" t="str">
        <x:v>https://genai.owasp.org/</x:v>
      </x:c>
      <x:c r="E10" s="26" t="str">
        <x:v>Mapping indicates governance/control relevance only; it does not establish legal compliance, certification, conformity or applicability.</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1" hidden="0" customWidth="1"/>
    <x:col min="2" max="2" width="65" hidden="0" customWidth="1"/>
    <x:col min="3" max="3" width="70" hidden="0" customWidth="1"/>
  </x:cols>
  <x:sheetData>
    <x:row r="1">
      <x:c r="A1" s="19" t="str">
        <x:v>Status</x:v>
      </x:c>
      <x:c r="B1" s="19" t="str">
        <x:v>Meaning</x:v>
      </x:c>
      <x:c r="C1" s="19" t="str">
        <x:v>Risk-credit rule</x:v>
      </x:c>
    </x:row>
    <x:row r="2">
      <x:c r="A2" s="14" t="str">
        <x:v>Implemented - baseline credited</x:v>
      </x:c>
      <x:c r="B2" s="14" t="str">
        <x:v>Control is explicitly credited in the current baseline assessment, but this library does not independently verify operating effectiveness.</x:v>
      </x:c>
      <x:c r="C2" s="14" t="str">
        <x:v>May be considered in current residual risk only to the extent supported by the approved risk assessment and current evidence.</x:v>
      </x:c>
    </x:row>
    <x:row r="3">
      <x:c r="A3" s="14" t="str">
        <x:v>Partially implemented</x:v>
      </x:c>
      <x:c r="B3" s="14" t="str">
        <x:v>A control or precursor exists, but coverage, consistency, maturity or evidence is incomplete.</x:v>
      </x:c>
      <x:c r="C3" s="14" t="str">
        <x:v>Only the evidenced operating portion may support current residual-risk conclusions.</x:v>
      </x:c>
    </x:row>
    <x:row r="4">
      <x:c r="A4" s="14" t="str">
        <x:v>Planned</x:v>
      </x:c>
      <x:c r="B4" s="14" t="str">
        <x:v>Target-state treatment or control has been designed but operating evidence is not available.</x:v>
      </x:c>
      <x:c r="C4" s="14" t="str">
        <x:v>No current residual-risk credit.</x:v>
      </x:c>
    </x:row>
    <x:row r="5">
      <x:c r="A5" s="14" t="str">
        <x:v>Not implemented</x:v>
      </x:c>
      <x:c r="B5" s="14" t="str">
        <x:v>Control has not been put into operation for the assessed system.</x:v>
      </x:c>
      <x:c r="C5" s="14" t="str">
        <x:v>No current residual-risk credit; blocking where required by the governance gate.</x:v>
      </x:c>
    </x:row>
    <x:row r="6">
      <x:c r="A6" s="14" t="str">
        <x:v>Weak / ad hoc</x:v>
      </x:c>
      <x:c r="B6" s="14" t="str">
        <x:v>Some informal or inconsistent behavior exists but does not provide reliable control coverage.</x:v>
      </x:c>
      <x:c r="C6" s="14" t="str">
        <x:v>No material control credit unless evidence justifies a more specific effectiveness assessment.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3" hidden="0" customWidth="1"/>
    <x:col min="2" max="2" width="24" hidden="0" customWidth="1"/>
    <x:col min="4" max="4" width="24" hidden="0" customWidth="1"/>
    <x:col min="5" max="5" width="21" hidden="0" customWidth="1"/>
    <x:col min="3" max="3" width="33" hidden="0" customWidth="1"/>
    <x:col min="6" max="6" width="42" hidden="0" customWidth="1"/>
  </x:cols>
  <x:sheetData>
    <x:row r="1" ht="28" customHeight="1">
      <x:c r="A1" s="30" t="str">
        <x:v>DUCKWORKS AI CONTROL LIBRARY - DASHBOARD</x:v>
      </x:c>
    </x:row>
    <x:row r="3">
      <x:c r="A3" s="35" t="str">
        <x:v>KPI</x:v>
      </x:c>
      <x:c r="B3" s="35" t="str">
        <x:v>Value</x:v>
      </x:c>
      <x:c r="D3" s="35" t="str">
        <x:v>Implementation Status</x:v>
      </x:c>
      <x:c r="E3" s="35" t="str">
        <x:v>Count</x:v>
      </x:c>
    </x:row>
    <x:row r="4">
      <x:c r="A4" s="39" t="str">
        <x:v>Total material risks</x:v>
      </x:c>
      <x:c r="B4" s="16" t="n">
        <x:v>21</x:v>
      </x:c>
      <x:c r="D4" s="39" t="str">
        <x:v>Implemented</x:v>
      </x:c>
      <x:c r="E4" s="16" t="n">
        <x:f>COUNTIF('Control Library'!$O$2:$O$46,"Implemented")</x:f>
        <x:v>3</x:v>
      </x:c>
    </x:row>
    <x:row r="5">
      <x:c r="A5" s="39" t="str">
        <x:v>Total controls</x:v>
      </x:c>
      <x:c r="B5" s="16" t="n">
        <x:v>45</x:v>
      </x:c>
      <x:c r="D5" s="39" t="str">
        <x:v>Partially Implemented</x:v>
      </x:c>
      <x:c r="E5" s="16" t="n">
        <x:f>COUNTIF('Control Library'!$O$2:$O$46,"Partially Implemented")</x:f>
        <x:v>17</x:v>
      </x:c>
    </x:row>
    <x:row r="6">
      <x:c r="A6" s="39" t="str">
        <x:v>Preventive controls</x:v>
      </x:c>
      <x:c r="B6" s="16" t="n">
        <x:f>COUNTIF('Control Library'!$G:$G,"Preventive")</x:f>
        <x:v>26</x:v>
      </x:c>
      <x:c r="D6" s="39" t="str">
        <x:v>Planned</x:v>
      </x:c>
      <x:c r="E6" s="16" t="n">
        <x:f>COUNTIF('Control Library'!$O$2:$O$46,"Planned")</x:f>
        <x:v>17</x:v>
      </x:c>
    </x:row>
    <x:row r="7">
      <x:c r="A7" s="39" t="str">
        <x:v>Detective controls</x:v>
      </x:c>
      <x:c r="B7" s="16" t="n">
        <x:f>COUNTIF('Control Library'!$G:$G,"Detective")</x:f>
        <x:v>13</x:v>
      </x:c>
      <x:c r="D7" s="39" t="str">
        <x:v>Not Implemented</x:v>
      </x:c>
      <x:c r="E7" s="16" t="n">
        <x:f>COUNTIF('Control Library'!$O$2:$O$46,"Not Implemented")</x:f>
        <x:v>7</x:v>
      </x:c>
    </x:row>
    <x:row r="8">
      <x:c r="A8" s="39" t="str">
        <x:v>Corrective controls</x:v>
      </x:c>
      <x:c r="B8" s="16" t="n">
        <x:f>COUNTIF('Control Library'!$G:$G,"Corrective")</x:f>
        <x:v>6</x:v>
      </x:c>
      <x:c r="D8" s="39" t="str">
        <x:v>Weak / Ad Hoc</x:v>
      </x:c>
      <x:c r="E8" s="16" t="n">
        <x:f>COUNTIF('Control Library'!$O$2:$O$46,"Weak / Ad Hoc")</x:f>
        <x:v>1</x:v>
      </x:c>
    </x:row>
    <x:row r="9">
      <x:c r="A9" s="39" t="str">
        <x:v>Risks with &gt;=2 mapped controls</x:v>
      </x:c>
      <x:c r="B9" s="16" t="n">
        <x:f>COUNTIF('Risk Coverage'!$I:$I,"&gt;=2")</x:f>
        <x:v>21</x:v>
      </x:c>
    </x:row>
    <x:row r="10">
      <x:c r="A10" s="39" t="str">
        <x:v>Risks with zero mapped controls</x:v>
      </x:c>
      <x:c r="B10" s="16" t="n">
        <x:f>COUNTIF('Risk Coverage'!$I:$I,0)</x:f>
        <x:v>0</x:v>
      </x:c>
    </x:row>
    <x:row r="11">
      <x:c r="A11" s="39" t="str">
        <x:v>Critical residual risk scenarios</x:v>
      </x:c>
      <x:c r="B11" s="16" t="n">
        <x:f>COUNTIF('Risk Coverage'!$F$2:$F$22,"Critical (20)")</x:f>
        <x:v>2</x:v>
      </x:c>
    </x:row>
    <x:row r="14">
      <x:c r="A14" s="19" t="str">
        <x:v>AI ID</x:v>
      </x:c>
      <x:c r="B14" s="19" t="str">
        <x:v>System</x:v>
      </x:c>
      <x:c r="C14" s="19" t="str">
        <x:v>Current Gate</x:v>
      </x:c>
      <x:c r="D14" s="19" t="str">
        <x:v>Current Position</x:v>
      </x:c>
      <x:c r="E14" s="19" t="str">
        <x:v>Unique Mapped Controls</x:v>
      </x:c>
      <x:c r="F14" s="19" t="str">
        <x:v>Priority</x:v>
      </x:c>
    </x:row>
    <x:row r="15">
      <x:c r="A15" s="14" t="str">
        <x:v>AI-001</x:v>
      </x:c>
      <x:c r="B15" s="14" t="str">
        <x:v>DuckDesign AI</x:v>
      </x:c>
      <x:c r="C15" s="14" t="str">
        <x:v>Restricted pilot only</x:v>
      </x:c>
      <x:c r="D15" s="14" t="str">
        <x:v>High current residual</x:v>
      </x:c>
      <x:c r="E15" s="14" t="n">
        <x:v>9</x:v>
      </x:c>
      <x:c r="F15" s="14" t="str">
        <x:v>P1 - close safety/validation evidence</x:v>
      </x:c>
    </x:row>
    <x:row r="16">
      <x:c r="A16" s="14" t="str">
        <x:v>AI-002</x:v>
      </x:c>
      <x:c r="B16" s="14" t="str">
        <x:v>QuackBot</x:v>
      </x:c>
      <x:c r="C16" s="14" t="str">
        <x:v>Production blocked pending gates</x:v>
      </x:c>
      <x:c r="D16" s="14" t="str">
        <x:v>High current residual</x:v>
      </x:c>
      <x:c r="E16" s="14" t="n">
        <x:v>9</x:v>
      </x:c>
      <x:c r="F16" s="14" t="str">
        <x:v>P1 - security/RAG/customer safety gate</x:v>
      </x:c>
    </x:row>
    <x:row r="17">
      <x:c r="A17" s="14" t="str">
        <x:v>AI-003</x:v>
      </x:c>
      <x:c r="B17" s="14" t="str">
        <x:v>FeatherForecast</x:v>
      </x:c>
      <x:c r="C17" s="14" t="str">
        <x:v>Continue with monitoring</x:v>
      </x:c>
      <x:c r="D17" s="14" t="str">
        <x:v>Moderate current residual</x:v>
      </x:c>
      <x:c r="E17" s="14" t="n">
        <x:v>6</x:v>
      </x:c>
      <x:c r="F17" s="14" t="str">
        <x:v>P2 - automate drift/assurance</x:v>
      </x:c>
    </x:row>
    <x:row r="18">
      <x:c r="A18" s="14" t="str">
        <x:v>AI-004</x:v>
      </x:c>
      <x:c r="B18" s="14" t="str">
        <x:v>WingInspect Vision</x:v>
      </x:c>
      <x:c r="C18" s="14" t="str">
        <x:v>Restricted pilot only</x:v>
      </x:c>
      <x:c r="D18" s="14" t="str">
        <x:v>High current residual</x:v>
      </x:c>
      <x:c r="E18" s="14" t="n">
        <x:v>9</x:v>
      </x:c>
      <x:c r="F18" s="14" t="str">
        <x:v>P1 - false-negative/safety validation</x:v>
      </x:c>
    </x:row>
    <x:row r="19">
      <x:c r="A19" s="14" t="str">
        <x:v>AI-005</x:v>
      </x:c>
      <x:c r="B19" s="14" t="str">
        <x:v>DuckTalent AI</x:v>
      </x:c>
      <x:c r="C19" s="14" t="str">
        <x:v>Do not deploy</x:v>
      </x:c>
      <x:c r="D19" s="14" t="str">
        <x:v>Critical current residual</x:v>
      </x:c>
      <x:c r="E19" s="14" t="n">
        <x:v>10</x:v>
      </x:c>
      <x:c r="F19" s="14" t="str">
        <x:v>P0 - rights/fairness/privacy/oversight</x:v>
      </x:c>
    </x:row>
    <x:row r="20">
      <x:c r="A20" s="14" t="str">
        <x:v>AI-006</x:v>
      </x:c>
      <x:c r="B20" s="14" t="str">
        <x:v>PondGPT</x:v>
      </x:c>
      <x:c r="C20" s="14" t="str">
        <x:v>Restricted pilot only</x:v>
      </x:c>
      <x:c r="D20" s="14" t="str">
        <x:v>High current residual</x:v>
      </x:c>
      <x:c r="E20" s="14" t="n">
        <x:v>8</x:v>
      </x:c>
      <x:c r="F20" s="14" t="str">
        <x:v>P1 - access/injection/DLP</x:v>
      </x:c>
    </x:row>
    <x:row r="21">
      <x:c r="A21" s="14" t="str">
        <x:v>AI-007</x:v>
      </x:c>
      <x:c r="B21" s="14" t="str">
        <x:v>Unregistered GenAI Usage</x:v>
      </x:c>
      <x:c r="C21" s="14" t="str">
        <x:v>Immediate containment/decompose</x:v>
      </x:c>
      <x:c r="D21" s="14" t="str">
        <x:v>Critical current residual</x:v>
      </x:c>
      <x:c r="E21" s="14" t="n">
        <x:v>9</x:v>
      </x:c>
      <x:c r="F21" s="14" t="str">
        <x:v>P0 - containment/discovery/vendor controls</x:v>
      </x:c>
    </x:row>
  </x:sheetData>
  <x:mergeCells>
    <x:mergeCell ref="A1:N1"/>
  </x:mergeCells>
  <x:pageMargins left="0.7" right="0.7" top="0.75" bottom="0.75" header="0.3" footer="0.3"/>
  <x:drawing xmlns:r="http://schemas.openxmlformats.org/officeDocument/2006/relationships" r:id="R1b0e0df46df24b72"/>
</x:worksheet>
</file>