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a5350c3ad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2b7f467fed4836"/>
    <x:sheet xmlns:r="http://schemas.openxmlformats.org/officeDocument/2006/relationships" name="Applicability Register" sheetId="2" r:id="R29b0cbbdaf5247cf"/>
    <x:sheet xmlns:r="http://schemas.openxmlformats.org/officeDocument/2006/relationships" name="Decision Rules" sheetId="3" r:id="R6fa2518721f14127"/>
    <x:sheet xmlns:r="http://schemas.openxmlformats.org/officeDocument/2006/relationships" name="Review Actions" sheetId="4" r:id="R868ef89991b24a3e"/>
    <x:sheet xmlns:r="http://schemas.openxmlformats.org/officeDocument/2006/relationships" name="Read Me" sheetId="5" r:id="Rd114fb3a8049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4"/>
      <x:color rgb="FF17324D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582"/>
      </x:patternFill>
    </x:fill>
    <x:fill>
      <x:patternFill patternType="solid">
        <x:fgColor rgb="FFFFF0C7"/>
      </x:patternFill>
    </x:fill>
  </x:fills>
  <x:borders count="10">
    <x:border/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medium">
        <x:color rgb="FFC69214"/>
      </x:left>
      <x:top style="medium">
        <x:color rgb="FFC69214"/>
      </x:top>
    </x:border>
    <x:border>
      <x:top style="medium">
        <x:color rgb="FFC69214"/>
      </x:top>
    </x:border>
    <x:border>
      <x:right style="medium">
        <x:color rgb="FFC69214"/>
      </x:right>
      <x:top style="medium">
        <x:color rgb="FFC69214"/>
      </x:top>
    </x:border>
    <x:border>
      <x:left style="medium">
        <x:color rgb="FFC69214"/>
      </x:left>
    </x:border>
    <x:border>
      <x:right style="medium">
        <x:color rgb="FFC69214"/>
      </x:right>
    </x:border>
    <x:border>
      <x:left style="medium">
        <x:color rgb="FFC69214"/>
      </x:left>
      <x:bottom style="medium">
        <x:color rgb="FFC69214"/>
      </x:bottom>
    </x:border>
    <x:border>
      <x:bottom style="medium">
        <x:color rgb="FFC69214"/>
      </x:bottom>
    </x:border>
    <x:border>
      <x:right style="medium">
        <x:color rgb="FFC69214"/>
      </x:right>
      <x:bottom style="medium">
        <x:color rgb="FFC6921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6" fillId="3" borderId="2" xfId="0" applyNumberFormat="1" applyFont="1" applyFill="1" applyBorder="1"/>
    <x:xf numFmtId="0" fontId="7" fillId="3" borderId="5" xfId="0" applyNumberFormat="1" applyFont="1" applyFill="1" applyBorder="1"/>
    <x:xf numFmtId="0" fontId="7" fillId="3" borderId="5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5027fdd3f493a" /><Relationship Type="http://schemas.openxmlformats.org/officeDocument/2006/relationships/theme" Target="/xl/theme/theme1.xml" Id="Rb6538587c6c64055" /><Relationship Type="http://schemas.openxmlformats.org/officeDocument/2006/relationships/sharedStrings" Target="/xl/sharedStrings.xml" Id="Ra80c24597f3a4e24" /><Relationship Type="http://schemas.openxmlformats.org/officeDocument/2006/relationships/worksheet" Target="/xl/worksheets/sheet1.xml" Id="Rc72b7f467fed4836" /><Relationship Type="http://schemas.openxmlformats.org/officeDocument/2006/relationships/worksheet" Target="/xl/worksheets/sheet2.xml" Id="R29b0cbbdaf5247cf" /><Relationship Type="http://schemas.openxmlformats.org/officeDocument/2006/relationships/worksheet" Target="/xl/worksheets/sheet3.xml" Id="R6fa2518721f14127" /><Relationship Type="http://schemas.openxmlformats.org/officeDocument/2006/relationships/worksheet" Target="/xl/worksheets/sheet4.xml" Id="R868ef89991b24a3e" /><Relationship Type="http://schemas.openxmlformats.org/officeDocument/2006/relationships/worksheet" Target="/xl/worksheets/sheet5.xml" Id="Rd114fb3a80494fbd" /></Relationships>
</file>

<file path=xl/tables/table1.xml><?xml version="1.0" encoding="utf-8"?>
<x:table xmlns:x="http://schemas.openxmlformats.org/spreadsheetml/2006/main" id="1" name="ApplicabilityRegister" displayName="ApplicabilityRegister" ref="A4:V49" headerRowCount="1" totalsRowCount="0" totalsRowShown="0">
  <x:tableColumns count="22">
    <x:tableColumn id="1" name="Decision_ID"/>
    <x:tableColumn id="2" name="Control_ID"/>
    <x:tableColumn id="3" name="Control_Name"/>
    <x:tableColumn id="4" name="Control_Type"/>
    <x:tableColumn id="5" name="Control_Owner"/>
    <x:tableColumn id="6" name="Applicability_Decision"/>
    <x:tableColumn id="7" name="Applicability_Scope"/>
    <x:tableColumn id="8" name="Applicability_Rationale"/>
    <x:tableColumn id="9" name="Conditional_or_Exclusion_Criteria"/>
    <x:tableColumn id="10" name="Related_Risk_IDs"/>
    <x:tableColumn id="11" name="Source_Implementation_Status"/>
    <x:tableColumn id="12" name="Evidence_IDs"/>
    <x:tableColumn id="13" name="Evidence_Basis"/>
    <x:tableColumn id="14" name="Production_Effectiveness_Claim"/>
    <x:tableColumn id="15" name="Risk_Reduction_Credit"/>
    <x:tableColumn id="16" name="Assurance_Classification"/>
    <x:tableColumn id="17" name="Required_Action"/>
    <x:tableColumn id="18" name="Approval_Status"/>
    <x:tableColumn id="19" name="Decision_Owner"/>
    <x:tableColumn id="20" name="Review_Date"/>
    <x:tableColumn id="21" name="Next_Review_Date"/>
    <x:tableColumn id="22" name="Review_Trigg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0310e0c876414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6" customHeight="1">
      <x:c r="A2" s="2" t="str">
        <x:v>Duckworks AIMS Control Applicability</x:v>
      </x:c>
    </x:row>
    <x:row r="3" ht="24" customHeight="1">
      <x:c r="A3" s="4" t="str">
        <x:v>v1.6 | 45-control bounded synthetic decision set | review date 2026-09-09</x:v>
      </x:c>
    </x:row>
    <x:row r="5">
      <x:c r="A5" s="10" t="str">
        <x:v>Controls</x:v>
      </x:c>
      <x:c r="B5" s="10" t="str">
        <x:v>Applicable</x:v>
      </x:c>
      <x:c r="C5" s="10" t="str">
        <x:v>Conditional</x:v>
      </x:c>
      <x:c r="D5" s="10" t="str">
        <x:v>Not applicable</x:v>
      </x:c>
      <x:c r="E5" s="10" t="str">
        <x:v>Evidence linked</x:v>
      </x:c>
      <x:c r="F5" s="10" t="str">
        <x:v>No linked evidence</x:v>
      </x:c>
      <x:c r="G5" s="10" t="str">
        <x:v>Unsupported Implemented</x:v>
      </x:c>
      <x:c r="H5" s="10" t="str">
        <x:v>Human approval</x:v>
      </x:c>
    </x:row>
    <x:row r="6" ht="28" customHeight="1">
      <x:c r="A6" s="13" t="n">
        <x:f>COUNTA('Applicability Register'!B5:B49)</x:f>
        <x:v>45</x:v>
      </x:c>
      <x:c r="B6" s="13" t="n">
        <x:f>COUNTIF('Applicability Register'!F5:F49,"Applicable")</x:f>
        <x:v>44</x:v>
      </x:c>
      <x:c r="C6" s="13" t="n">
        <x:f>COUNTIF('Applicability Register'!F5:F49,"Conditionally applicable")</x:f>
        <x:v>1</x:v>
      </x:c>
      <x:c r="D6" s="13" t="n">
        <x:f>COUNTIF('Applicability Register'!F5:F49,"Not applicable")</x:f>
        <x:v>0</x:v>
      </x:c>
      <x:c r="E6" s="13" t="n">
        <x:f>COUNTIF('Applicability Register'!L5:L49,"&lt;&gt;None linked")</x:f>
        <x:v>9</x:v>
      </x:c>
      <x:c r="F6" s="13" t="n">
        <x:f>COUNTIF('Applicability Register'!L5:L49,"None linked")</x:f>
        <x:v>36</x:v>
      </x:c>
      <x:c r="G6" s="13" t="n">
        <x:f>COUNTIFS('Applicability Register'!K5:K49,"Implemented",'Applicability Register'!L5:L49,"None linked")</x:f>
        <x:v>2</x:v>
      </x:c>
      <x:c r="H6" s="13" t="str">
        <x:v>Required</x:v>
      </x:c>
    </x:row>
    <x:row r="9">
      <x:c r="A9" s="10" t="str">
        <x:v>Decision</x:v>
      </x:c>
      <x:c r="B9" s="10" t="str">
        <x:v>Result</x:v>
      </x:c>
      <x:c r="C9" s="10" t="str">
        <x:v>Management meaning</x:v>
      </x:c>
      <x:c r="D9" s="10" t="str">
        <x:v>Next action</x:v>
      </x:c>
    </x:row>
    <x:row r="10">
      <x:c r="A10" s="14" t="str">
        <x:v>Control population</x:v>
      </x:c>
      <x:c r="B10" s="14" t="str">
        <x:v>45 of 45 assessed</x:v>
      </x:c>
      <x:c r="C10" s="14" t="str">
        <x:v>Complete current control-library coverage</x:v>
      </x:c>
      <x:c r="D10" s="14" t="str">
        <x:v>Reassess after material change</x:v>
      </x:c>
    </x:row>
    <x:row r="11">
      <x:c r="A11" s="14" t="str">
        <x:v>Applicability</x:v>
      </x:c>
      <x:c r="B11" s="14" t="str">
        <x:v>44 Applicable; 1 Conditional</x:v>
      </x:c>
      <x:c r="C11" s="14" t="str">
        <x:v>No control is silently excluded</x:v>
      </x:c>
      <x:c r="D11" s="14" t="str">
        <x:v>Human approval remains required</x:v>
      </x:c>
    </x:row>
    <x:row r="12">
      <x:c r="A12" s="14" t="str">
        <x:v>Supplier control</x:v>
      </x:c>
      <x:c r="B12" s="14" t="str">
        <x:v>AI-TPR-01 conditional</x:v>
      </x:c>
      <x:c r="C12" s="14" t="str">
        <x:v>Activated by external provider or material subprocessor</x:v>
      </x:c>
      <x:c r="D12" s="14" t="str">
        <x:v>Review architecture and supplier changes</x:v>
      </x:c>
    </x:row>
    <x:row r="13">
      <x:c r="A13" s="14" t="str">
        <x:v>Evidence maturity</x:v>
      </x:c>
      <x:c r="B13" s="14" t="str">
        <x:v>9 linked; 36 without linked evidence</x:v>
      </x:c>
      <x:c r="C13" s="14" t="str">
        <x:v>Applicability does not establish implementation</x:v>
      </x:c>
      <x:c r="D13" s="14" t="str">
        <x:v>Prioritize evidence by risk and audit plan</x:v>
      </x:c>
    </x:row>
    <x:row r="14">
      <x:c r="A14" s="14" t="str">
        <x:v>Status integrity</x:v>
      </x:c>
      <x:c r="B14" s="14" t="str">
        <x:v>DD-01 and FF-01 unsupported</x:v>
      </x:c>
      <x:c r="C14" s="14" t="str">
        <x:v>Implemented source labels lack evidence</x:v>
      </x:c>
      <x:c r="D14" s="14" t="str">
        <x:v>Retrieve evidence or downgrade status</x:v>
      </x:c>
    </x:row>
    <x:row r="17">
      <x:c r="A17" s="24" t="str">
        <x:v>Decision boundary</x:v>
      </x:c>
      <x:c r="B17" s="17"/>
      <x:c r="C17" s="17"/>
      <x:c r="D17" s="17"/>
      <x:c r="E17" s="17"/>
      <x:c r="F17" s="17"/>
      <x:c r="G17" s="17"/>
      <x:c r="H17" s="18"/>
    </x:row>
    <x:row r="18">
      <x:c r="A18" s="27" t="str">
        <x:v>Applicability is not implementation, operation, effectiveness, legal compliance, ISO/IEC 42001 conformity or certification. The gate approves zero decisions and creates no risk acceptance or deployment authorization.</x:v>
      </x:c>
      <x:c r="B18" s="15"/>
      <x:c r="C18" s="15"/>
      <x:c r="D18" s="15"/>
      <x:c r="E18" s="15"/>
      <x:c r="F18" s="15"/>
      <x:c r="G18" s="15"/>
      <x:c r="H18" s="20"/>
    </x:row>
    <x:row r="19">
      <x:c r="A19" s="21"/>
      <x:c r="B19" s="22"/>
      <x:c r="C19" s="22"/>
      <x:c r="D19" s="22"/>
      <x:c r="E19" s="22"/>
      <x:c r="F19" s="22"/>
      <x:c r="G19" s="22"/>
      <x:c r="H19" s="23"/>
    </x:row>
  </x:sheetData>
  <x:mergeCells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18" hidden="0" customWidth="1"/>
    <x:col min="12" max="12" width="48" hidden="0" customWidth="1"/>
    <x:col min="13" max="13" width="48" hidden="0" customWidth="1"/>
    <x:col min="14" max="14" width="18" hidden="0" customWidth="1"/>
    <x:col min="15" max="15" width="18" hidden="0" customWidth="1"/>
    <x:col min="16" max="16" width="45" hidden="0" customWidth="1"/>
    <x:col min="17" max="17" width="45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6" customHeight="1">
      <x:c r="A2" s="2" t="str">
        <x:v>AIMS Control Applicability Register</x:v>
      </x:c>
    </x:row>
    <x:row r="3" ht="24" customHeight="1">
      <x:c r="A3" s="4" t="str">
        <x:v>Authoritative machine-readable source: Duckworks_AIMS_Control_Applicability_Register_v1.0.csv</x:v>
      </x:c>
    </x:row>
    <x:row r="4">
      <x:c r="A4" s="10" t="str">
        <x:v>Decision_ID</x:v>
      </x:c>
      <x:c r="B4" s="10" t="str">
        <x:v>Control_ID</x:v>
      </x:c>
      <x:c r="C4" s="10" t="str">
        <x:v>Control_Name</x:v>
      </x:c>
      <x:c r="D4" s="10" t="str">
        <x:v>Control_Type</x:v>
      </x:c>
      <x:c r="E4" s="10" t="str">
        <x:v>Control_Owner</x:v>
      </x:c>
      <x:c r="F4" s="10" t="str">
        <x:v>Applicability_Decision</x:v>
      </x:c>
      <x:c r="G4" s="10" t="str">
        <x:v>Applicability_Scope</x:v>
      </x:c>
      <x:c r="H4" s="10" t="str">
        <x:v>Applicability_Rationale</x:v>
      </x:c>
      <x:c r="I4" s="10" t="str">
        <x:v>Conditional_or_Exclusion_Criteria</x:v>
      </x:c>
      <x:c r="J4" s="10" t="str">
        <x:v>Related_Risk_IDs</x:v>
      </x:c>
      <x:c r="K4" s="10" t="str">
        <x:v>Source_Implementation_Status</x:v>
      </x:c>
      <x:c r="L4" s="10" t="str">
        <x:v>Evidence_IDs</x:v>
      </x:c>
      <x:c r="M4" s="10" t="str">
        <x:v>Evidence_Basis</x:v>
      </x:c>
      <x:c r="N4" s="10" t="str">
        <x:v>Production_Effectiveness_Claim</x:v>
      </x:c>
      <x:c r="O4" s="10" t="str">
        <x:v>Risk_Reduction_Credit</x:v>
      </x:c>
      <x:c r="P4" s="10" t="str">
        <x:v>Assurance_Classification</x:v>
      </x:c>
      <x:c r="Q4" s="10" t="str">
        <x:v>Required_Action</x:v>
      </x:c>
      <x:c r="R4" s="10" t="str">
        <x:v>Approval_Status</x:v>
      </x:c>
      <x:c r="S4" s="10" t="str">
        <x:v>Decision_Owner</x:v>
      </x:c>
      <x:c r="T4" s="10" t="str">
        <x:v>Review_Date</x:v>
      </x:c>
      <x:c r="U4" s="10" t="str">
        <x:v>Next_Review_Date</x:v>
      </x:c>
      <x:c r="V4" s="10" t="str">
        <x:v>Review_Triggers</x:v>
      </x:c>
    </x:row>
    <x:row r="5">
      <x:c r="A5" s="28" t="str">
        <x:v>APP-001</x:v>
      </x:c>
      <x:c r="B5" s="28" t="str">
        <x:v>AI-GOV-01</x:v>
      </x:c>
      <x:c r="C5" s="28" t="str">
        <x:v>Risk-Based Lifecycle Gate</x:v>
      </x:c>
      <x:c r="D5" s="28" t="str">
        <x:v>Preventive</x:v>
      </x:c>
      <x:c r="E5" s="28" t="str">
        <x:v>Eleanor Duckford - AI Governance Lead</x:v>
      </x:c>
      <x:c r="F5" s="28" t="str">
        <x:v>Applicable</x:v>
      </x:c>
      <x:c r="G5" s="28" t="str">
        <x:v>AIMS-wide; AI-001 through AI-007</x:v>
      </x:c>
      <x:c r="H5" s="28" t="str">
        <x:v>Included as a portfolio-wide governance control because risk-based lifecycle gate supports consistent lifecycle, change or evidence decisions across the AIMS.</x:v>
      </x:c>
      <x:c r="I5" s="28" t="str">
        <x:v>No routine exclusion. Any exception requires documented CRCO approval, alternative treatment and review trigger.</x:v>
      </x:c>
      <x:c r="J5" s="28" t="str">
        <x:v>AI-001-R01; AI-002-R01; AI-002-R03; AI-004-R01; AI-005-R01; AI-005-R02; AI-006-R01; AI-007-R02</x:v>
      </x:c>
      <x:c r="K5" s="28" t="str">
        <x:v>Partially implemented</x:v>
      </x:c>
      <x:c r="L5" s="28" t="str">
        <x:v>EV-AI005-009; EV-AI005-014; EV-AI005-015; EV-AI005-017; EV-AI005-018; EV-AI005-019; EV-AI005-020; EV-AI005-021; EV-AI006-013; EV-AIMS-009; EV-AIMS-010; EV-AIMS-012; EV-AIMS-013; EV-AIMS-019</x:v>
      </x:c>
      <x:c r="M5" s="28" t="str">
        <x:v>Synthetic system and supplier lifecycle decisions, corrective-action governance, management decision and narrow closure demonstrated; production effectiveness unverified; applicability evidence reconciled in EV-AIMS-017 through EV-AIMS-020</x:v>
      </x:c>
      <x:c r="N5" s="28" t="str">
        <x:v>No</x:v>
      </x:c>
      <x:c r="O5" s="28" t="str">
        <x:v>No production risk-reduction credit</x:v>
      </x:c>
      <x:c r="P5" s="28" t="str">
        <x:v>Bounded synthetic evidence linked; production effectiveness unverified</x:v>
      </x:c>
      <x:c r="Q5" s="28" t="str">
        <x:v>Add authorized real gate operation, production-period evidence and outcome review; preserve unresolved blockers and reopening triggers.</x:v>
      </x:c>
      <x:c r="R5" s="28" t="str">
        <x:v>Approved within bounded synthetic portfolio exercise</x:v>
      </x:c>
      <x:c r="S5" s="28" t="str">
        <x:v>Reginald Duckman - Chief Risk &amp; Compliance Officer</x:v>
      </x:c>
      <x:c r="T5" s="28" t="str">
        <x:v>2026-09-09</x:v>
      </x:c>
      <x:c r="U5" s="28" t="str">
        <x:v>2026-12-31</x:v>
      </x:c>
      <x:c r="V5" s="28" t="str">
        <x:v>Material system, risk, control, evidence, supplier, legal, lifecycle or AIMS-scope change; failed validation; overdue review</x:v>
      </x:c>
    </x:row>
    <x:row r="6">
      <x:c r="A6" s="28" t="str">
        <x:v>APP-002</x:v>
      </x:c>
      <x:c r="B6" s="28" t="str">
        <x:v>AI-GOV-02</x:v>
      </x:c>
      <x:c r="C6" s="28" t="str">
        <x:v>Material Change &amp; Reassessment Trigger</x:v>
      </x:c>
      <x:c r="D6" s="28" t="str">
        <x:v>Preventive</x:v>
      </x:c>
      <x:c r="E6" s="28" t="str">
        <x:v>Eleanor Duckford - AI Governance Lead</x:v>
      </x:c>
      <x:c r="F6" s="28" t="str">
        <x:v>Applicable</x:v>
      </x:c>
      <x:c r="G6" s="28" t="str">
        <x:v>AIMS-wide; AI-001 through AI-007</x:v>
      </x:c>
      <x:c r="H6" s="28" t="str">
        <x:v>Included as a portfolio-wide governance control because material change &amp; reassessment trigger supports consistent lifecycle, change or evidence decisions across the AIMS.</x:v>
      </x:c>
      <x:c r="I6" s="28" t="str">
        <x:v>No routine exclusion. Any exception requires documented CRCO approval, alternative treatment and review trigger.</x:v>
      </x:c>
      <x:c r="J6" s="28" t="str">
        <x:v>AI-001-R01; AI-001-R02; AI-001-R03; AI-003-R02; AI-004-R03; AI-005-R01; AI-006-R01</x:v>
      </x:c>
      <x:c r="K6" s="28" t="str">
        <x:v>Partially implemented</x:v>
      </x:c>
      <x:c r="L6" s="28" t="str">
        <x:v>EV-AI005-010; EV-AI005-011; EV-AI005-012; EV-AI005-013; EV-AI005-014; EV-AI005-015; EV-AI005-016; EV-AI005-017; EV-AI005-018; EV-AI005-019; EV-AI005-020; EV-AI005-021; EV-AI006-015</x:v>
      </x:c>
      <x:c r="M6" s="28" t="str">
        <x:v>One bounded DuckTalent change/reassessment/improvement cycle and one bounded PondGPT supplier-change response demonstrated; enterprise-wide and production effectiveness unverified; applicability evidence reconciled in EV-AIMS-017 through EV-AIMS-020</x:v>
      </x:c>
      <x:c r="N6" s="28" t="str">
        <x:v>No</x:v>
      </x:c>
      <x:c r="O6" s="28" t="str">
        <x:v>No production risk-reduction credit</x:v>
      </x:c>
      <x:c r="P6" s="28" t="str">
        <x:v>Bounded synthetic evidence linked; production effectiveness unverified</x:v>
      </x:c>
      <x:c r="Q6" s="28" t="str">
        <x:v>Add enterprise-wide trigger operation and version-bound production evidence, including supplier notices, exceptions, review, approval and reopening outcomes.</x:v>
      </x:c>
      <x:c r="R6" s="28" t="str">
        <x:v>Approved within bounded synthetic portfolio exercise</x:v>
      </x:c>
      <x:c r="S6" s="28" t="str">
        <x:v>Reginald Duckman - Chief Risk &amp; Compliance Officer</x:v>
      </x:c>
      <x:c r="T6" s="28" t="str">
        <x:v>2026-09-09</x:v>
      </x:c>
      <x:c r="U6" s="28" t="str">
        <x:v>2026-12-31</x:v>
      </x:c>
      <x:c r="V6" s="28" t="str">
        <x:v>Material system, risk, control, evidence, supplier, legal, lifecycle or AIMS-scope change; failed validation; overdue review</x:v>
      </x:c>
    </x:row>
    <x:row r="7">
      <x:c r="A7" s="28" t="str">
        <x:v>APP-003</x:v>
      </x:c>
      <x:c r="B7" s="28" t="str">
        <x:v>AI-GOV-03</x:v>
      </x:c>
      <x:c r="C7" s="28" t="str">
        <x:v>Control Evidence Index</x:v>
      </x:c>
      <x:c r="D7" s="28" t="str">
        <x:v>Detective</x:v>
      </x:c>
      <x:c r="E7" s="28" t="str">
        <x:v>Eleanor Duckford - AI Governance Lead</x:v>
      </x:c>
      <x:c r="F7" s="28" t="str">
        <x:v>Applicable</x:v>
      </x:c>
      <x:c r="G7" s="28" t="str">
        <x:v>AIMS-wide; AI-001 through AI-007</x:v>
      </x:c>
      <x:c r="H7" s="28" t="str">
        <x:v>Included as a portfolio-wide governance control because control evidence index supports consistent lifecycle, change or evidence decisions across the AIMS.</x:v>
      </x:c>
      <x:c r="I7" s="28" t="str">
        <x:v>No routine exclusion. Any exception requires documented CRCO approval, alternative treatment and review trigger.</x:v>
      </x:c>
      <x:c r="J7" s="28" t="str">
        <x:v>Portfolio-wide evidence governance</x:v>
      </x:c>
      <x:c r="K7" s="28" t="str">
        <x:v>Planned</x:v>
      </x:c>
      <x:c r="L7" s="28" t="str">
        <x:v>EV-AIMS-001; EV-AIMS-002; EV-AIMS-003; EV-AIMS-004; EV-AIMS-005; EV-AIMS-006; EV-AIMS-007; EV-AIMS-008; EV-AIMS-014; EV-AIMS-015; EV-AIMS-016; EV-AIMS-017; EV-AIMS-018; EV-AIMS-019; EV-AIMS-020</x:v>
      </x:c>
      <x:c r="M7" s="28" t="str">
        <x:v>Implemented at portfolio-document level; maintenance operation untested; applicability evidence reconciled in EV-AIMS-017 through EV-AIMS-020</x:v>
      </x:c>
      <x:c r="N7" s="28" t="str">
        <x:v>No</x:v>
      </x:c>
      <x:c r="O7" s="28" t="str">
        <x:v>Design/document implementation only</x:v>
      </x:c>
      <x:c r="P7" s="28" t="str">
        <x:v>Bounded synthetic evidence linked; production effectiveness unverified</x:v>
      </x:c>
      <x:c r="Q7" s="28" t="str">
        <x:v>Assign a maintenance cadence; test retrieval, review, supersession and cross-document update operation.</x:v>
      </x:c>
      <x:c r="R7" s="28" t="str">
        <x:v>Approved within bounded synthetic portfolio exercise</x:v>
      </x:c>
      <x:c r="S7" s="28" t="str">
        <x:v>Reginald Duckman - Chief Risk &amp; Compliance Officer</x:v>
      </x:c>
      <x:c r="T7" s="28" t="str">
        <x:v>2026-09-09</x:v>
      </x:c>
      <x:c r="U7" s="28" t="str">
        <x:v>2026-12-31</x:v>
      </x:c>
      <x:c r="V7" s="28" t="str">
        <x:v>Material system, risk, control, evidence, supplier, legal, lifecycle or AIMS-scope change; failed validation; overdue review</x:v>
      </x:c>
    </x:row>
    <x:row r="8">
      <x:c r="A8" s="28" t="str">
        <x:v>APP-004</x:v>
      </x:c>
      <x:c r="B8" s="28" t="str">
        <x:v>AI-INC-01</x:v>
      </x:c>
      <x:c r="C8" s="28" t="str">
        <x:v>AI Incident, Containment &amp; Stop-Use</x:v>
      </x:c>
      <x:c r="D8" s="28" t="str">
        <x:v>Corrective</x:v>
      </x:c>
      <x:c r="E8" s="28" t="str">
        <x:v>Cassandra Duckley - Chief Information Security Officer</x:v>
      </x:c>
      <x:c r="F8" s="28" t="str">
        <x:v>Applicable</x:v>
      </x:c>
      <x:c r="G8" s="28" t="str">
        <x:v>AIMS-wide incident response; AI-001 through AI-007</x:v>
      </x:c>
      <x:c r="H8" s="28" t="str">
        <x:v>Included because every registered AI system and the AI-007 organizational condition can require containment, stop-use, investigation and escalation.</x:v>
      </x:c>
      <x:c r="I8" s="28" t="str">
        <x:v>No routine exclusion. System-specific procedures may tailor execution but may not remove incident escalation and containment.</x:v>
      </x:c>
      <x:c r="J8" s="28" t="str">
        <x:v>AI-001-R01; AI-001-R02; AI-002-R02; AI-003-R03; AI-004-R01; AI-005-R03; AI-006-R01; AI-006-R02; AI-007-R01</x:v>
      </x:c>
      <x:c r="K8" s="28" t="str">
        <x:v>Partially implemented</x:v>
      </x:c>
      <x:c r="L8" s="28" t="str">
        <x:v>None linked</x:v>
      </x:c>
      <x:c r="M8" s="28" t="str">
        <x:v>Design/status assertion — evidence ID absent</x:v>
      </x:c>
      <x:c r="N8" s="28" t="str">
        <x:v>No</x:v>
      </x:c>
      <x:c r="O8" s="28" t="str">
        <x:v>No additional credit</x:v>
      </x:c>
      <x:c r="P8" s="28" t="str">
        <x:v>Design/status assertion — evidence absent</x:v>
      </x:c>
      <x:c r="Q8" s="28" t="str">
        <x:v>Provide implementation and operating evidence with a stable evidence ID.</x:v>
      </x:c>
      <x:c r="R8" s="28" t="str">
        <x:v>Approved within bounded synthetic portfolio exercise</x:v>
      </x:c>
      <x:c r="S8" s="28" t="str">
        <x:v>Reginald Duckman - Chief Risk &amp; Compliance Officer</x:v>
      </x:c>
      <x:c r="T8" s="28" t="str">
        <x:v>2026-09-09</x:v>
      </x:c>
      <x:c r="U8" s="28" t="str">
        <x:v>2026-12-31</x:v>
      </x:c>
      <x:c r="V8" s="28" t="str">
        <x:v>Material system, risk, control, evidence, supplier, legal, lifecycle or AIMS-scope change; failed validation; overdue review</x:v>
      </x:c>
    </x:row>
    <x:row r="9">
      <x:c r="A9" s="28" t="str">
        <x:v>APP-005</x:v>
      </x:c>
      <x:c r="B9" s="28" t="str">
        <x:v>AI-TPR-01</x:v>
      </x:c>
      <x:c r="C9" s="28" t="str">
        <x:v>AI Supplier Due Diligence &amp; Contract Controls</x:v>
      </x:c>
      <x:c r="D9" s="28" t="str">
        <x:v>Preventive</x:v>
      </x:c>
      <x:c r="E9" s="28" t="str">
        <x:v>Percival Duckworth - Director Procurement &amp; Vendor Assurance</x:v>
      </x:c>
      <x:c r="F9" s="28" t="str">
        <x:v>Conditionally applicable</x:v>
      </x:c>
      <x:c r="G9" s="28" t="str">
        <x:v>AI-001; AI-002; AI-005; AI-006; AI-007 and any use involving an external provider</x:v>
      </x:c>
      <x:c r="H9" s="28" t="str">
        <x:v>Conditionally included because supplier due diligence, contractual controls, monitoring and exit requirements apply whenever Duckworks relies on an external AI provider or material subprocessor.</x:v>
      </x:c>
      <x:c r="I9" s="28" t="str">
        <x:v>May be marked not applicable only where no external provider, hosted service, model supplier, data supplier or material subprocessor is used; the absence and rationale require owner and CRCO approval.</x:v>
      </x:c>
      <x:c r="J9" s="28" t="str">
        <x:v>AI-001-R02; AI-002-R02; AI-005-R01; AI-005-R03; AI-006-R01; AI-007-R03</x:v>
      </x:c>
      <x:c r="K9" s="28" t="str">
        <x:v>Partially implemented</x:v>
      </x:c>
      <x:c r="L9" s="28" t="str">
        <x:v>EV-AI006-009; EV-AI006-010; EV-AI006-011; EV-AI006-012; EV-AI006-013; EV-AI006-014; EV-AI006-015; EV-AI006-016</x:v>
      </x:c>
      <x:c r="M9" s="28" t="str">
        <x:v>One bounded synthetic PondGPT supplier lifecycle demonstrated from intake through change response and exit design; executed contract, verified supplier evidence and production operation absent; applicability evidence reconciled in EV-AIMS-017 through EV-AIMS-020</x:v>
      </x:c>
      <x:c r="N9" s="28" t="str">
        <x:v>No</x:v>
      </x:c>
      <x:c r="O9" s="28" t="str">
        <x:v>No production risk-reduction credit</x:v>
      </x:c>
      <x:c r="P9" s="28" t="str">
        <x:v>Bounded synthetic evidence linked; production effectiveness unverified</x:v>
      </x:c>
      <x:c r="Q9" s="28" t="str">
        <x:v>Execute and verify blocking contractual terms; obtain supplier security/privacy/hosting/subprocessor evidence; operate monitoring; test export, continuity and deletion; record authorized renewal/exit decisions.</x:v>
      </x:c>
      <x:c r="R9" s="28" t="str">
        <x:v>Approved within bounded synthetic portfolio exercise</x:v>
      </x:c>
      <x:c r="S9" s="28" t="str">
        <x:v>Reginald Duckman - Chief Risk &amp; Compliance Officer</x:v>
      </x:c>
      <x:c r="T9" s="28" t="str">
        <x:v>2026-09-09</x:v>
      </x:c>
      <x:c r="U9" s="28" t="str">
        <x:v>2026-12-31</x:v>
      </x:c>
      <x:c r="V9" s="28" t="str">
        <x:v>Material system, risk, control, evidence, supplier, legal, lifecycle or AIMS-scope change; failed validation; overdue review</x:v>
      </x:c>
    </x:row>
    <x:row r="10">
      <x:c r="A10" s="28" t="str">
        <x:v>APP-006</x:v>
      </x:c>
      <x:c r="B10" s="28" t="str">
        <x:v>DD-01</x:v>
      </x:c>
      <x:c r="C10" s="28" t="str">
        <x:v>Competent Engineer Approval</x:v>
      </x:c>
      <x:c r="D10" s="28" t="str">
        <x:v>Preventive</x:v>
      </x:c>
      <x:c r="E10" s="28" t="str">
        <x:v>Felix Duckson - VP Product &amp; Engineering</x:v>
      </x:c>
      <x:c r="F10" s="28" t="str">
        <x:v>Applicable</x:v>
      </x:c>
      <x:c r="G10" s="28" t="str">
        <x:v>AI-001 — DuckDesign AI</x:v>
      </x:c>
      <x:c r="H10" s="28" t="str">
        <x:v>Included because Competent Engineer Approval directly treats AI-001-R01; AI-001-R03 within AI-001 — DuckDesign AI.</x:v>
      </x:c>
      <x:c r="I10" s="28" t="str">
        <x:v>Outside AI-001 — DuckDesign AI, the control is not automatically applicable unless another AI entry adopts the same risk/control pattern; portfolio-wide controls remain applicable.</x:v>
      </x:c>
      <x:c r="J10" s="28" t="str">
        <x:v>AI-001-R01; AI-001-R03</x:v>
      </x:c>
      <x:c r="K10" s="28" t="str">
        <x:v>Implemented</x:v>
      </x:c>
      <x:c r="L10" s="28" t="str">
        <x:v>None linked</x:v>
      </x:c>
      <x:c r="M10" s="28" t="str">
        <x:v>Unsupported implementation assertion — evidence ID absent</x:v>
      </x:c>
      <x:c r="N10" s="28" t="str">
        <x:v>No</x:v>
      </x:c>
      <x:c r="O10" s="28" t="str">
        <x:v>No additional credit until evidence is retrieved and reviewed</x:v>
      </x:c>
      <x:c r="P10" s="28" t="str">
        <x:v>Unsupported implementation assertion — evidence absent</x:v>
      </x:c>
      <x:c r="Q10" s="28" t="str">
        <x:v>Provide execution records, population/period, exceptions, outcome metrics and owner review.</x:v>
      </x:c>
      <x:c r="R10" s="28" t="str">
        <x:v>Approved within bounded synthetic portfolio exercise</x:v>
      </x:c>
      <x:c r="S10" s="28" t="str">
        <x:v>Reginald Duckman - Chief Risk &amp; Compliance Officer</x:v>
      </x:c>
      <x:c r="T10" s="28" t="str">
        <x:v>2026-09-09</x:v>
      </x:c>
      <x:c r="U10" s="28" t="str">
        <x:v>2026-12-31</x:v>
      </x:c>
      <x:c r="V10" s="28" t="str">
        <x:v>Material system, risk, control, evidence, supplier, legal, lifecycle or AIMS-scope change; failed validation; overdue review</x:v>
      </x:c>
    </x:row>
    <x:row r="11">
      <x:c r="A11" s="28" t="str">
        <x:v>APP-007</x:v>
      </x:c>
      <x:c r="B11" s="28" t="str">
        <x:v>DD-02</x:v>
      </x:c>
      <x:c r="C11" s="28" t="str">
        <x:v>Independent Safety Validation Gate</x:v>
      </x:c>
      <x:c r="D11" s="28" t="str">
        <x:v>Preventive</x:v>
      </x:c>
      <x:c r="E11" s="28" t="str">
        <x:v>Quentin Duckwell - Director Product Safety &amp; Quality</x:v>
      </x:c>
      <x:c r="F11" s="28" t="str">
        <x:v>Applicable</x:v>
      </x:c>
      <x:c r="G11" s="28" t="str">
        <x:v>AI-001 — DuckDesign AI</x:v>
      </x:c>
      <x:c r="H11" s="28" t="str">
        <x:v>Included because Independent Safety Validation Gate directly treats AI-001-R01 within AI-001 — DuckDesign AI.</x:v>
      </x:c>
      <x:c r="I11" s="28" t="str">
        <x:v>Outside AI-001 — DuckDesign AI, the control is not automatically applicable unless another AI entry adopts the same risk/control pattern; portfolio-wide controls remain applicable.</x:v>
      </x:c>
      <x:c r="J11" s="28" t="str">
        <x:v>AI-001-R01</x:v>
      </x:c>
      <x:c r="K11" s="28" t="str">
        <x:v>Planned</x:v>
      </x:c>
      <x:c r="L11" s="28" t="str">
        <x:v>None linked</x:v>
      </x:c>
      <x:c r="M11" s="28" t="str">
        <x:v>Planned</x:v>
      </x:c>
      <x:c r="N11" s="28" t="str">
        <x:v>No</x:v>
      </x:c>
      <x:c r="O11" s="28" t="str">
        <x:v>No current risk-reduction credit</x:v>
      </x:c>
      <x:c r="P11" s="28" t="str">
        <x:v>Design only or not implemented — evidence absent</x:v>
      </x:c>
      <x:c r="Q11" s="28" t="str">
        <x:v>Implement the control, assign stable evidence IDs, operate it over a defined period and test it.</x:v>
      </x:c>
      <x:c r="R11" s="28" t="str">
        <x:v>Approved within bounded synthetic portfolio exercise</x:v>
      </x:c>
      <x:c r="S11" s="28" t="str">
        <x:v>Reginald Duckman - Chief Risk &amp; Compliance Officer</x:v>
      </x:c>
      <x:c r="T11" s="28" t="str">
        <x:v>2026-09-09</x:v>
      </x:c>
      <x:c r="U11" s="28" t="str">
        <x:v>2026-12-31</x:v>
      </x:c>
      <x:c r="V11" s="28" t="str">
        <x:v>Material system, risk, control, evidence, supplier, legal, lifecycle or AIMS-scope change; failed validation; overdue review</x:v>
      </x:c>
    </x:row>
    <x:row r="12">
      <x:c r="A12" s="28" t="str">
        <x:v>APP-008</x:v>
      </x:c>
      <x:c r="B12" s="28" t="str">
        <x:v>DD-03</x:v>
      </x:c>
      <x:c r="C12" s="28" t="str">
        <x:v>Engineering Benchmark &amp; Regression Suite</x:v>
      </x:c>
      <x:c r="D12" s="28" t="str">
        <x:v>Detective</x:v>
      </x:c>
      <x:c r="E12" s="28" t="str">
        <x:v>Dr. Ada Duckfield - Head of Data &amp; AI</x:v>
      </x:c>
      <x:c r="F12" s="28" t="str">
        <x:v>Applicable</x:v>
      </x:c>
      <x:c r="G12" s="28" t="str">
        <x:v>AI-001 — DuckDesign AI</x:v>
      </x:c>
      <x:c r="H12" s="28" t="str">
        <x:v>Included because Engineering Benchmark &amp; Regression Suite directly treats AI-001-R01; AI-001-R03 within AI-001 — DuckDesign AI.</x:v>
      </x:c>
      <x:c r="I12" s="28" t="str">
        <x:v>Outside AI-001 — DuckDesign AI, the control is not automatically applicable unless another AI entry adopts the same risk/control pattern; portfolio-wide controls remain applicable.</x:v>
      </x:c>
      <x:c r="J12" s="28" t="str">
        <x:v>AI-001-R01; AI-001-R03</x:v>
      </x:c>
      <x:c r="K12" s="28" t="str">
        <x:v>Planned</x:v>
      </x:c>
      <x:c r="L12" s="28" t="str">
        <x:v>None linked</x:v>
      </x:c>
      <x:c r="M12" s="28" t="str">
        <x:v>Planned</x:v>
      </x:c>
      <x:c r="N12" s="28" t="str">
        <x:v>No</x:v>
      </x:c>
      <x:c r="O12" s="28" t="str">
        <x:v>No current risk-reduction credit</x:v>
      </x:c>
      <x:c r="P12" s="28" t="str">
        <x:v>Design only or not implemented — evidence absent</x:v>
      </x:c>
      <x:c r="Q12" s="28" t="str">
        <x:v>Implement the control, assign stable evidence IDs, operate it over a defined period and test it.</x:v>
      </x:c>
      <x:c r="R12" s="28" t="str">
        <x:v>Approved within bounded synthetic portfolio exercise</x:v>
      </x:c>
      <x:c r="S12" s="28" t="str">
        <x:v>Reginald Duckman - Chief Risk &amp; Compliance Officer</x:v>
      </x:c>
      <x:c r="T12" s="28" t="str">
        <x:v>2026-09-09</x:v>
      </x:c>
      <x:c r="U12" s="28" t="str">
        <x:v>2026-12-31</x:v>
      </x:c>
      <x:c r="V12" s="28" t="str">
        <x:v>Material system, risk, control, evidence, supplier, legal, lifecycle or AIMS-scope change; failed validation; overdue review</x:v>
      </x:c>
    </x:row>
    <x:row r="13">
      <x:c r="A13" s="28" t="str">
        <x:v>APP-009</x:v>
      </x:c>
      <x:c r="B13" s="28" t="str">
        <x:v>DD-04</x:v>
      </x:c>
      <x:c r="C13" s="28" t="str">
        <x:v>Engineering Data Boundary &amp; DLP</x:v>
      </x:c>
      <x:c r="D13" s="28" t="str">
        <x:v>Preventive</x:v>
      </x:c>
      <x:c r="E13" s="28" t="str">
        <x:v>Cassandra Duckley - Chief Information Security Officer</x:v>
      </x:c>
      <x:c r="F13" s="28" t="str">
        <x:v>Applicable</x:v>
      </x:c>
      <x:c r="G13" s="28" t="str">
        <x:v>AI-001 — DuckDesign AI</x:v>
      </x:c>
      <x:c r="H13" s="28" t="str">
        <x:v>Included because Engineering Data Boundary &amp; DLP directly treats AI-001-R02 within AI-001 — DuckDesign AI.</x:v>
      </x:c>
      <x:c r="I13" s="28" t="str">
        <x:v>Outside AI-001 — DuckDesign AI, the control is not automatically applicable unless another AI entry adopts the same risk/control pattern; portfolio-wide controls remain applicable.</x:v>
      </x:c>
      <x:c r="J13" s="28" t="str">
        <x:v>AI-001-R02</x:v>
      </x:c>
      <x:c r="K13" s="28" t="str">
        <x:v>Partially implemented</x:v>
      </x:c>
      <x:c r="L13" s="28" t="str">
        <x:v>None linked</x:v>
      </x:c>
      <x:c r="M13" s="28" t="str">
        <x:v>Design/status assertion — evidence ID absent</x:v>
      </x:c>
      <x:c r="N13" s="28" t="str">
        <x:v>No</x:v>
      </x:c>
      <x:c r="O13" s="28" t="str">
        <x:v>No additional credit</x:v>
      </x:c>
      <x:c r="P13" s="28" t="str">
        <x:v>Design/status assertion — evidence absent</x:v>
      </x:c>
      <x:c r="Q13" s="28" t="str">
        <x:v>Provide implementation and operating evidence with a stable evidence ID.</x:v>
      </x:c>
      <x:c r="R13" s="28" t="str">
        <x:v>Approved within bounded synthetic portfolio exercise</x:v>
      </x:c>
      <x:c r="S13" s="28" t="str">
        <x:v>Reginald Duckman - Chief Risk &amp; Compliance Officer</x:v>
      </x:c>
      <x:c r="T13" s="28" t="str">
        <x:v>2026-09-09</x:v>
      </x:c>
      <x:c r="U13" s="28" t="str">
        <x:v>2026-12-31</x:v>
      </x:c>
      <x:c r="V13" s="28" t="str">
        <x:v>Material system, risk, control, evidence, supplier, legal, lifecycle or AIMS-scope change; failed validation; overdue review</x:v>
      </x:c>
    </x:row>
    <x:row r="14">
      <x:c r="A14" s="28" t="str">
        <x:v>APP-010</x:v>
      </x:c>
      <x:c r="B14" s="28" t="str">
        <x:v>DD-05</x:v>
      </x:c>
      <x:c r="C14" s="28" t="str">
        <x:v>Design/Model Version Traceability</x:v>
      </x:c>
      <x:c r="D14" s="28" t="str">
        <x:v>Preventive</x:v>
      </x:c>
      <x:c r="E14" s="28" t="str">
        <x:v>Dr. Ada Duckfield - Head of Data &amp; AI</x:v>
      </x:c>
      <x:c r="F14" s="28" t="str">
        <x:v>Applicable</x:v>
      </x:c>
      <x:c r="G14" s="28" t="str">
        <x:v>AI-001 — DuckDesign AI</x:v>
      </x:c>
      <x:c r="H14" s="28" t="str">
        <x:v>Included because Design/Model Version Traceability directly treats AI-001-R01; AI-001-R03 within AI-001 — DuckDesign AI.</x:v>
      </x:c>
      <x:c r="I14" s="28" t="str">
        <x:v>Outside AI-001 — DuckDesign AI, the control is not automatically applicable unless another AI entry adopts the same risk/control pattern; portfolio-wide controls remain applicable.</x:v>
      </x:c>
      <x:c r="J14" s="28" t="str">
        <x:v>AI-001-R01; AI-001-R03</x:v>
      </x:c>
      <x:c r="K14" s="28" t="str">
        <x:v>Partially implemented</x:v>
      </x:c>
      <x:c r="L14" s="28" t="str">
        <x:v>None linked</x:v>
      </x:c>
      <x:c r="M14" s="28" t="str">
        <x:v>Design/status assertion — evidence ID absent</x:v>
      </x:c>
      <x:c r="N14" s="28" t="str">
        <x:v>No</x:v>
      </x:c>
      <x:c r="O14" s="28" t="str">
        <x:v>No additional credit</x:v>
      </x:c>
      <x:c r="P14" s="28" t="str">
        <x:v>Design/status assertion — evidence absent</x:v>
      </x:c>
      <x:c r="Q14" s="28" t="str">
        <x:v>Provide implementation and operating evidence with a stable evidence ID.</x:v>
      </x:c>
      <x:c r="R14" s="28" t="str">
        <x:v>Approved within bounded synthetic portfolio exercise</x:v>
      </x:c>
      <x:c r="S14" s="28" t="str">
        <x:v>Reginald Duckman - Chief Risk &amp; Compliance Officer</x:v>
      </x:c>
      <x:c r="T14" s="28" t="str">
        <x:v>2026-09-09</x:v>
      </x:c>
      <x:c r="U14" s="28" t="str">
        <x:v>2026-12-31</x:v>
      </x:c>
      <x:c r="V14" s="28" t="str">
        <x:v>Material system, risk, control, evidence, supplier, legal, lifecycle or AIMS-scope change; failed validation; overdue review</x:v>
      </x:c>
    </x:row>
    <x:row r="15">
      <x:c r="A15" s="28" t="str">
        <x:v>APP-011</x:v>
      </x:c>
      <x:c r="B15" s="28" t="str">
        <x:v>DT-01</x:v>
      </x:c>
      <x:c r="C15" s="28" t="str">
        <x:v>Job-Relevance Criteria &amp; Proxy Feature Governance</x:v>
      </x:c>
      <x:c r="D15" s="28" t="str">
        <x:v>Preventive</x:v>
      </x:c>
      <x:c r="E15" s="28" t="str">
        <x:v>Beatrice Van Duck - Chief People Officer</x:v>
      </x:c>
      <x:c r="F15" s="28" t="str">
        <x:v>Applicable</x:v>
      </x:c>
      <x:c r="G15" s="28" t="str">
        <x:v>AI-005 — DuckTalent AI</x:v>
      </x:c>
      <x:c r="H15" s="28" t="str">
        <x:v>Included because Job-Relevance Criteria &amp; Proxy Feature Governance directly treats AI-005-R01 within AI-005 — DuckTalent AI.</x:v>
      </x:c>
      <x:c r="I15" s="28" t="str">
        <x:v>Outside AI-005 — DuckTalent AI, the control is not automatically applicable unless another AI entry adopts the same risk/control pattern; portfolio-wide controls remain applicable.</x:v>
      </x:c>
      <x:c r="J15" s="28" t="str">
        <x:v>AI-005-R01</x:v>
      </x:c>
      <x:c r="K15" s="28" t="str">
        <x:v>Not implemented</x:v>
      </x:c>
      <x:c r="L15" s="28" t="str">
        <x:v>EV-AI005-001; EV-AI005-002; EV-AI005-009; EV-AI005-011; EV-AI005-012; EV-AI005-015; EV-AI005-016; EV-AI005-017; EV-AI005-018; EV-AI005-019; EV-AI005-021</x:v>
      </x:c>
      <x:c r="M15" s="28" t="str">
        <x:v>A preventive change gate and cause-linked corrective action are demonstrated synthetically; full job-relevance governance and production operation remain unimplemented; applicability evidence reconciled in EV-AIMS-017 through EV-AIMS-020</x:v>
      </x:c>
      <x:c r="N15" s="28" t="str">
        <x:v>No</x:v>
      </x:c>
      <x:c r="O15" s="28" t="str">
        <x:v>No current risk-reduction credit</x:v>
      </x:c>
      <x:c r="P15" s="28" t="str">
        <x:v>Bounded synthetic evidence linked; production effectiveness unverified</x:v>
      </x:c>
      <x:c r="Q15" s="28" t="str">
        <x:v>Approve job-relevance criteria and feature governance for the real system/version, then operate and independently test the control over a defined period.</x:v>
      </x:c>
      <x:c r="R15" s="28" t="str">
        <x:v>Approved within bounded synthetic portfolio exercise</x:v>
      </x:c>
      <x:c r="S15" s="28" t="str">
        <x:v>Reginald Duckman - Chief Risk &amp; Compliance Officer</x:v>
      </x:c>
      <x:c r="T15" s="28" t="str">
        <x:v>2026-09-09</x:v>
      </x:c>
      <x:c r="U15" s="28" t="str">
        <x:v>2026-12-31</x:v>
      </x:c>
      <x:c r="V15" s="28" t="str">
        <x:v>Material system, risk, control, evidence, supplier, legal, lifecycle or AIMS-scope change; failed validation; overdue review</x:v>
      </x:c>
    </x:row>
    <x:row r="16">
      <x:c r="A16" s="28" t="str">
        <x:v>APP-012</x:v>
      </x:c>
      <x:c r="B16" s="28" t="str">
        <x:v>DT-02</x:v>
      </x:c>
      <x:c r="C16" s="28" t="str">
        <x:v>Pre-Deployment Fairness &amp; Adverse-Impact Testing</x:v>
      </x:c>
      <x:c r="D16" s="28" t="str">
        <x:v>Detective</x:v>
      </x:c>
      <x:c r="E16" s="28" t="str">
        <x:v>Beatrice Van Duck - Chief People Officer</x:v>
      </x:c>
      <x:c r="F16" s="28" t="str">
        <x:v>Applicable</x:v>
      </x:c>
      <x:c r="G16" s="28" t="str">
        <x:v>AI-005 — DuckTalent AI</x:v>
      </x:c>
      <x:c r="H16" s="28" t="str">
        <x:v>Included because Pre-Deployment Fairness &amp; Adverse-Impact Testing directly treats AI-005-R01 within AI-005 — DuckTalent AI.</x:v>
      </x:c>
      <x:c r="I16" s="28" t="str">
        <x:v>Outside AI-005 — DuckTalent AI, the control is not automatically applicable unless another AI entry adopts the same risk/control pattern; portfolio-wide controls remain applicable.</x:v>
      </x:c>
      <x:c r="J16" s="28" t="str">
        <x:v>AI-005-R01</x:v>
      </x:c>
      <x:c r="K16" s="28" t="str">
        <x:v>Partially implemented</x:v>
      </x:c>
      <x:c r="L16" s="28" t="str">
        <x:v>EV-AI005-001; EV-AI005-002; EV-AI005-003; EV-AI005-004; EV-AI005-005; EV-AI005-006; EV-AI005-009; EV-AI005-011; EV-AI005-012; EV-AI005-015; EV-AI005-016; EV-AI005-017; EV-AI005-018; EV-AI005-019; EV-AI005-021</x:v>
      </x:c>
      <x:c r="M16" s="28" t="str">
        <x:v>Synthetic implementation, operation, recurrence-prevention test and bounded corrective-action effectiveness demonstrated; production effectiveness unverified; applicability evidence reconciled in EV-AIMS-017 through EV-AIMS-020</x:v>
      </x:c>
      <x:c r="N16" s="28" t="str">
        <x:v>No</x:v>
      </x:c>
      <x:c r="O16" s="28" t="str">
        <x:v>No production risk-reduction credit</x:v>
      </x:c>
      <x:c r="P16" s="28" t="str">
        <x:v>Bounded synthetic evidence linked; production effectiveness unverified</x:v>
      </x:c>
      <x:c r="Q16" s="28" t="str">
        <x:v>Add version-bound production operating and outcome evidence, lawful evaluation data, defined period/population, exceptions, independent review and approval.</x:v>
      </x:c>
      <x:c r="R16" s="28" t="str">
        <x:v>Approved within bounded synthetic portfolio exercise</x:v>
      </x:c>
      <x:c r="S16" s="28" t="str">
        <x:v>Reginald Duckman - Chief Risk &amp; Compliance Officer</x:v>
      </x:c>
      <x:c r="T16" s="28" t="str">
        <x:v>2026-09-09</x:v>
      </x:c>
      <x:c r="U16" s="28" t="str">
        <x:v>2026-12-31</x:v>
      </x:c>
      <x:c r="V16" s="28" t="str">
        <x:v>Material system, risk, control, evidence, supplier, legal, lifecycle or AIMS-scope change; failed validation; overdue review</x:v>
      </x:c>
    </x:row>
    <x:row r="17">
      <x:c r="A17" s="28" t="str">
        <x:v>APP-013</x:v>
      </x:c>
      <x:c r="B17" s="28" t="str">
        <x:v>DT-03</x:v>
      </x:c>
      <x:c r="C17" s="28" t="str">
        <x:v>Meaningful Human Review &amp; No Automated Rejection</x:v>
      </x:c>
      <x:c r="D17" s="28" t="str">
        <x:v>Preventive</x:v>
      </x:c>
      <x:c r="E17" s="28" t="str">
        <x:v>Beatrice Van Duck - Chief People Officer</x:v>
      </x:c>
      <x:c r="F17" s="28" t="str">
        <x:v>Applicable</x:v>
      </x:c>
      <x:c r="G17" s="28" t="str">
        <x:v>AI-005 — DuckTalent AI</x:v>
      </x:c>
      <x:c r="H17" s="28" t="str">
        <x:v>Included because Meaningful Human Review &amp; No Automated Rejection directly treats AI-005-R02 within AI-005 — DuckTalent AI.</x:v>
      </x:c>
      <x:c r="I17" s="28" t="str">
        <x:v>Outside AI-005 — DuckTalent AI, the control is not automatically applicable unless another AI entry adopts the same risk/control pattern; portfolio-wide controls remain applicable.</x:v>
      </x:c>
      <x:c r="J17" s="28" t="str">
        <x:v>AI-005-R02</x:v>
      </x:c>
      <x:c r="K17" s="28" t="str">
        <x:v>Not implemented</x:v>
      </x:c>
      <x:c r="L17" s="28" t="str">
        <x:v>None linked</x:v>
      </x:c>
      <x:c r="M17" s="28" t="str">
        <x:v>Not implemented</x:v>
      </x:c>
      <x:c r="N17" s="28" t="str">
        <x:v>No</x:v>
      </x:c>
      <x:c r="O17" s="28" t="str">
        <x:v>No current risk-reduction credit</x:v>
      </x:c>
      <x:c r="P17" s="28" t="str">
        <x:v>Design only or not implemented — evidence absent</x:v>
      </x:c>
      <x:c r="Q17" s="28" t="str">
        <x:v>Implement the control, assign stable evidence IDs, operate it over a defined period and test it.</x:v>
      </x:c>
      <x:c r="R17" s="28" t="str">
        <x:v>Approved within bounded synthetic portfolio exercise</x:v>
      </x:c>
      <x:c r="S17" s="28" t="str">
        <x:v>Reginald Duckman - Chief Risk &amp; Compliance Officer</x:v>
      </x:c>
      <x:c r="T17" s="28" t="str">
        <x:v>2026-09-09</x:v>
      </x:c>
      <x:c r="U17" s="28" t="str">
        <x:v>2026-12-31</x:v>
      </x:c>
      <x:c r="V17" s="28" t="str">
        <x:v>Material system, risk, control, evidence, supplier, legal, lifecycle or AIMS-scope change; failed validation; overdue review</x:v>
      </x:c>
    </x:row>
    <x:row r="18">
      <x:c r="A18" s="28" t="str">
        <x:v>APP-014</x:v>
      </x:c>
      <x:c r="B18" s="28" t="str">
        <x:v>DT-04</x:v>
      </x:c>
      <x:c r="C18" s="28" t="str">
        <x:v>Reviewer Rationale, Training &amp; Override Monitoring</x:v>
      </x:c>
      <x:c r="D18" s="28" t="str">
        <x:v>Preventive</x:v>
      </x:c>
      <x:c r="E18" s="28" t="str">
        <x:v>Beatrice Van Duck - Chief People Officer</x:v>
      </x:c>
      <x:c r="F18" s="28" t="str">
        <x:v>Applicable</x:v>
      </x:c>
      <x:c r="G18" s="28" t="str">
        <x:v>AI-005 — DuckTalent AI</x:v>
      </x:c>
      <x:c r="H18" s="28" t="str">
        <x:v>Included because Reviewer Rationale, Training &amp; Override Monitoring directly treats AI-005-R02 within AI-005 — DuckTalent AI.</x:v>
      </x:c>
      <x:c r="I18" s="28" t="str">
        <x:v>Outside AI-005 — DuckTalent AI, the control is not automatically applicable unless another AI entry adopts the same risk/control pattern; portfolio-wide controls remain applicable.</x:v>
      </x:c>
      <x:c r="J18" s="28" t="str">
        <x:v>AI-005-R02</x:v>
      </x:c>
      <x:c r="K18" s="28" t="str">
        <x:v>Not implemented</x:v>
      </x:c>
      <x:c r="L18" s="28" t="str">
        <x:v>None linked</x:v>
      </x:c>
      <x:c r="M18" s="28" t="str">
        <x:v>Not implemented</x:v>
      </x:c>
      <x:c r="N18" s="28" t="str">
        <x:v>No</x:v>
      </x:c>
      <x:c r="O18" s="28" t="str">
        <x:v>No current risk-reduction credit</x:v>
      </x:c>
      <x:c r="P18" s="28" t="str">
        <x:v>Design only or not implemented — evidence absent</x:v>
      </x:c>
      <x:c r="Q18" s="28" t="str">
        <x:v>Implement the control, assign stable evidence IDs, operate it over a defined period and test it.</x:v>
      </x:c>
      <x:c r="R18" s="28" t="str">
        <x:v>Approved within bounded synthetic portfolio exercise</x:v>
      </x:c>
      <x:c r="S18" s="28" t="str">
        <x:v>Reginald Duckman - Chief Risk &amp; Compliance Officer</x:v>
      </x:c>
      <x:c r="T18" s="28" t="str">
        <x:v>2026-09-09</x:v>
      </x:c>
      <x:c r="U18" s="28" t="str">
        <x:v>2026-12-31</x:v>
      </x:c>
      <x:c r="V18" s="28" t="str">
        <x:v>Material system, risk, control, evidence, supplier, legal, lifecycle or AIMS-scope change; failed validation; overdue review</x:v>
      </x:c>
    </x:row>
    <x:row r="19">
      <x:c r="A19" s="28" t="str">
        <x:v>APP-015</x:v>
      </x:c>
      <x:c r="B19" s="28" t="str">
        <x:v>DT-05</x:v>
      </x:c>
      <x:c r="C19" s="28" t="str">
        <x:v>Applicant Data Minimization, Field Exclusion &amp; Retention</x:v>
      </x:c>
      <x:c r="D19" s="28" t="str">
        <x:v>Preventive</x:v>
      </x:c>
      <x:c r="E19" s="28" t="str">
        <x:v>Beatrice Van Duck - Chief People Officer</x:v>
      </x:c>
      <x:c r="F19" s="28" t="str">
        <x:v>Applicable</x:v>
      </x:c>
      <x:c r="G19" s="28" t="str">
        <x:v>AI-005 — DuckTalent AI</x:v>
      </x:c>
      <x:c r="H19" s="28" t="str">
        <x:v>Included because Applicant Data Minimization, Field Exclusion &amp; Retention directly treats AI-005-R03 within AI-005 — DuckTalent AI.</x:v>
      </x:c>
      <x:c r="I19" s="28" t="str">
        <x:v>Outside AI-005 — DuckTalent AI, the control is not automatically applicable unless another AI entry adopts the same risk/control pattern; portfolio-wide controls remain applicable.</x:v>
      </x:c>
      <x:c r="J19" s="28" t="str">
        <x:v>AI-005-R03</x:v>
      </x:c>
      <x:c r="K19" s="28" t="str">
        <x:v>Not implemented</x:v>
      </x:c>
      <x:c r="L19" s="28" t="str">
        <x:v>None linked</x:v>
      </x:c>
      <x:c r="M19" s="28" t="str">
        <x:v>Not implemented</x:v>
      </x:c>
      <x:c r="N19" s="28" t="str">
        <x:v>No</x:v>
      </x:c>
      <x:c r="O19" s="28" t="str">
        <x:v>No current risk-reduction credit</x:v>
      </x:c>
      <x:c r="P19" s="28" t="str">
        <x:v>Design only or not implemented — evidence absent</x:v>
      </x:c>
      <x:c r="Q19" s="28" t="str">
        <x:v>Implement the control, assign stable evidence IDs, operate it over a defined period and test it.</x:v>
      </x:c>
      <x:c r="R19" s="28" t="str">
        <x:v>Approved within bounded synthetic portfolio exercise</x:v>
      </x:c>
      <x:c r="S19" s="28" t="str">
        <x:v>Reginald Duckman - Chief Risk &amp; Compliance Officer</x:v>
      </x:c>
      <x:c r="T19" s="28" t="str">
        <x:v>2026-09-09</x:v>
      </x:c>
      <x:c r="U19" s="28" t="str">
        <x:v>2026-12-31</x:v>
      </x:c>
      <x:c r="V19" s="28" t="str">
        <x:v>Material system, risk, control, evidence, supplier, legal, lifecycle or AIMS-scope change; failed validation; overdue review</x:v>
      </x:c>
    </x:row>
    <x:row r="20">
      <x:c r="A20" s="28" t="str">
        <x:v>APP-016</x:v>
      </x:c>
      <x:c r="B20" s="28" t="str">
        <x:v>DT-06</x:v>
      </x:c>
      <x:c r="C20" s="28" t="str">
        <x:v>Impact, Privacy &amp; Legal Review Gate</x:v>
      </x:c>
      <x:c r="D20" s="28" t="str">
        <x:v>Preventive</x:v>
      </x:c>
      <x:c r="E20" s="28" t="str">
        <x:v>Eleanor Duckford - AI Governance Lead</x:v>
      </x:c>
      <x:c r="F20" s="28" t="str">
        <x:v>Applicable</x:v>
      </x:c>
      <x:c r="G20" s="28" t="str">
        <x:v>AI-005 — DuckTalent AI</x:v>
      </x:c>
      <x:c r="H20" s="28" t="str">
        <x:v>Included because Impact, Privacy &amp; Legal Review Gate directly treats AI-005-R03 within AI-005 — DuckTalent AI.</x:v>
      </x:c>
      <x:c r="I20" s="28" t="str">
        <x:v>Outside AI-005 — DuckTalent AI, the control is not automatically applicable unless another AI entry adopts the same risk/control pattern; portfolio-wide controls remain applicable.</x:v>
      </x:c>
      <x:c r="J20" s="28" t="str">
        <x:v>AI-005-R03</x:v>
      </x:c>
      <x:c r="K20" s="28" t="str">
        <x:v>Not implemented</x:v>
      </x:c>
      <x:c r="L20" s="28" t="str">
        <x:v>None linked</x:v>
      </x:c>
      <x:c r="M20" s="28" t="str">
        <x:v>Not implemented</x:v>
      </x:c>
      <x:c r="N20" s="28" t="str">
        <x:v>No</x:v>
      </x:c>
      <x:c r="O20" s="28" t="str">
        <x:v>No current risk-reduction credit</x:v>
      </x:c>
      <x:c r="P20" s="28" t="str">
        <x:v>Design only or not implemented — evidence absent</x:v>
      </x:c>
      <x:c r="Q20" s="28" t="str">
        <x:v>Implement the control, assign stable evidence IDs, operate it over a defined period and test it.</x:v>
      </x:c>
      <x:c r="R20" s="28" t="str">
        <x:v>Approved within bounded synthetic portfolio exercise</x:v>
      </x:c>
      <x:c r="S20" s="28" t="str">
        <x:v>Reginald Duckman - Chief Risk &amp; Compliance Officer</x:v>
      </x:c>
      <x:c r="T20" s="28" t="str">
        <x:v>2026-09-09</x:v>
      </x:c>
      <x:c r="U20" s="28" t="str">
        <x:v>2026-12-31</x:v>
      </x:c>
      <x:c r="V20" s="28" t="str">
        <x:v>Material system, risk, control, evidence, supplier, legal, lifecycle or AIMS-scope change; failed validation; overdue review</x:v>
      </x:c>
    </x:row>
    <x:row r="21">
      <x:c r="A21" s="28" t="str">
        <x:v>APP-017</x:v>
      </x:c>
      <x:c r="B21" s="28" t="str">
        <x:v>DT-07</x:v>
      </x:c>
      <x:c r="C21" s="28" t="str">
        <x:v>Candidate Notice, Challenge &amp; Human Remedy</x:v>
      </x:c>
      <x:c r="D21" s="28" t="str">
        <x:v>Corrective</x:v>
      </x:c>
      <x:c r="E21" s="28" t="str">
        <x:v>Beatrice Van Duck - Chief People Officer</x:v>
      </x:c>
      <x:c r="F21" s="28" t="str">
        <x:v>Applicable</x:v>
      </x:c>
      <x:c r="G21" s="28" t="str">
        <x:v>AI-005 — DuckTalent AI</x:v>
      </x:c>
      <x:c r="H21" s="28" t="str">
        <x:v>Included because Candidate Notice, Challenge &amp; Human Remedy directly treats AI-005-R01; AI-005-R02 within AI-005 — DuckTalent AI.</x:v>
      </x:c>
      <x:c r="I21" s="28" t="str">
        <x:v>Outside AI-005 — DuckTalent AI, the control is not automatically applicable unless another AI entry adopts the same risk/control pattern; portfolio-wide controls remain applicable.</x:v>
      </x:c>
      <x:c r="J21" s="28" t="str">
        <x:v>AI-005-R01; AI-005-R02</x:v>
      </x:c>
      <x:c r="K21" s="28" t="str">
        <x:v>Not implemented</x:v>
      </x:c>
      <x:c r="L21" s="28" t="str">
        <x:v>None linked</x:v>
      </x:c>
      <x:c r="M21" s="28" t="str">
        <x:v>Not implemented</x:v>
      </x:c>
      <x:c r="N21" s="28" t="str">
        <x:v>No</x:v>
      </x:c>
      <x:c r="O21" s="28" t="str">
        <x:v>No current risk-reduction credit</x:v>
      </x:c>
      <x:c r="P21" s="28" t="str">
        <x:v>Design only or not implemented — evidence absent</x:v>
      </x:c>
      <x:c r="Q21" s="28" t="str">
        <x:v>Implement the control, assign stable evidence IDs, operate it over a defined period and test it.</x:v>
      </x:c>
      <x:c r="R21" s="28" t="str">
        <x:v>Approved within bounded synthetic portfolio exercise</x:v>
      </x:c>
      <x:c r="S21" s="28" t="str">
        <x:v>Reginald Duckman - Chief Risk &amp; Compliance Officer</x:v>
      </x:c>
      <x:c r="T21" s="28" t="str">
        <x:v>2026-09-09</x:v>
      </x:c>
      <x:c r="U21" s="28" t="str">
        <x:v>2026-12-31</x:v>
      </x:c>
      <x:c r="V21" s="28" t="str">
        <x:v>Material system, risk, control, evidence, supplier, legal, lifecycle or AIMS-scope change; failed validation; overdue review</x:v>
      </x:c>
    </x:row>
    <x:row r="22">
      <x:c r="A22" s="28" t="str">
        <x:v>APP-018</x:v>
      </x:c>
      <x:c r="B22" s="28" t="str">
        <x:v>FF-01</x:v>
      </x:c>
      <x:c r="C22" s="28" t="str">
        <x:v>Human Planning Approval &amp; Override</x:v>
      </x:c>
      <x:c r="D22" s="28" t="str">
        <x:v>Preventive</x:v>
      </x:c>
      <x:c r="E22" s="28" t="str">
        <x:v>Tobias Duckman - Director Supply Chain</x:v>
      </x:c>
      <x:c r="F22" s="28" t="str">
        <x:v>Applicable</x:v>
      </x:c>
      <x:c r="G22" s="28" t="str">
        <x:v>AI-003 — FeatherForecast</x:v>
      </x:c>
      <x:c r="H22" s="28" t="str">
        <x:v>Included because Human Planning Approval &amp; Override directly treats AI-003-R01 within AI-003 — FeatherForecast.</x:v>
      </x:c>
      <x:c r="I22" s="28" t="str">
        <x:v>Outside AI-003 — FeatherForecast, the control is not automatically applicable unless another AI entry adopts the same risk/control pattern; portfolio-wide controls remain applicable.</x:v>
      </x:c>
      <x:c r="J22" s="28" t="str">
        <x:v>AI-003-R01</x:v>
      </x:c>
      <x:c r="K22" s="28" t="str">
        <x:v>Implemented</x:v>
      </x:c>
      <x:c r="L22" s="28" t="str">
        <x:v>None linked</x:v>
      </x:c>
      <x:c r="M22" s="28" t="str">
        <x:v>Unsupported implementation assertion — evidence ID absent</x:v>
      </x:c>
      <x:c r="N22" s="28" t="str">
        <x:v>No</x:v>
      </x:c>
      <x:c r="O22" s="28" t="str">
        <x:v>No additional credit until evidence is retrieved and reviewed</x:v>
      </x:c>
      <x:c r="P22" s="28" t="str">
        <x:v>Unsupported implementation assertion — evidence absent</x:v>
      </x:c>
      <x:c r="Q22" s="28" t="str">
        <x:v>Provide execution records, population/period, exceptions, outcome metrics and owner review.</x:v>
      </x:c>
      <x:c r="R22" s="28" t="str">
        <x:v>Approved within bounded synthetic portfolio exercise</x:v>
      </x:c>
      <x:c r="S22" s="28" t="str">
        <x:v>Reginald Duckman - Chief Risk &amp; Compliance Officer</x:v>
      </x:c>
      <x:c r="T22" s="28" t="str">
        <x:v>2026-09-09</x:v>
      </x:c>
      <x:c r="U22" s="28" t="str">
        <x:v>2026-12-31</x:v>
      </x:c>
      <x:c r="V22" s="28" t="str">
        <x:v>Material system, risk, control, evidence, supplier, legal, lifecycle or AIMS-scope change; failed validation; overdue review</x:v>
      </x:c>
    </x:row>
    <x:row r="23">
      <x:c r="A23" s="28" t="str">
        <x:v>APP-019</x:v>
      </x:c>
      <x:c r="B23" s="28" t="str">
        <x:v>FF-02</x:v>
      </x:c>
      <x:c r="C23" s="28" t="str">
        <x:v>Back-Testing, Stress Testing &amp; Challenger Review</x:v>
      </x:c>
      <x:c r="D23" s="28" t="str">
        <x:v>Detective</x:v>
      </x:c>
      <x:c r="E23" s="28" t="str">
        <x:v>Dr. Ada Duckfield - Head of Data &amp; AI</x:v>
      </x:c>
      <x:c r="F23" s="28" t="str">
        <x:v>Applicable</x:v>
      </x:c>
      <x:c r="G23" s="28" t="str">
        <x:v>AI-003 — FeatherForecast</x:v>
      </x:c>
      <x:c r="H23" s="28" t="str">
        <x:v>Included because Back-Testing, Stress Testing &amp; Challenger Review directly treats AI-003-R01; AI-003-R02 within AI-003 — FeatherForecast.</x:v>
      </x:c>
      <x:c r="I23" s="28" t="str">
        <x:v>Outside AI-003 — FeatherForecast, the control is not automatically applicable unless another AI entry adopts the same risk/control pattern; portfolio-wide controls remain applicable.</x:v>
      </x:c>
      <x:c r="J23" s="28" t="str">
        <x:v>AI-003-R01; AI-003-R02</x:v>
      </x:c>
      <x:c r="K23" s="28" t="str">
        <x:v>Partially implemented</x:v>
      </x:c>
      <x:c r="L23" s="28" t="str">
        <x:v>None linked</x:v>
      </x:c>
      <x:c r="M23" s="28" t="str">
        <x:v>Design/status assertion — evidence ID absent</x:v>
      </x:c>
      <x:c r="N23" s="28" t="str">
        <x:v>No</x:v>
      </x:c>
      <x:c r="O23" s="28" t="str">
        <x:v>No additional credit</x:v>
      </x:c>
      <x:c r="P23" s="28" t="str">
        <x:v>Design/status assertion — evidence absent</x:v>
      </x:c>
      <x:c r="Q23" s="28" t="str">
        <x:v>Provide implementation and operating evidence with a stable evidence ID.</x:v>
      </x:c>
      <x:c r="R23" s="28" t="str">
        <x:v>Approved within bounded synthetic portfolio exercise</x:v>
      </x:c>
      <x:c r="S23" s="28" t="str">
        <x:v>Reginald Duckman - Chief Risk &amp; Compliance Officer</x:v>
      </x:c>
      <x:c r="T23" s="28" t="str">
        <x:v>2026-09-09</x:v>
      </x:c>
      <x:c r="U23" s="28" t="str">
        <x:v>2026-12-31</x:v>
      </x:c>
      <x:c r="V23" s="28" t="str">
        <x:v>Material system, risk, control, evidence, supplier, legal, lifecycle or AIMS-scope change; failed validation; overdue review</x:v>
      </x:c>
    </x:row>
    <x:row r="24">
      <x:c r="A24" s="28" t="str">
        <x:v>APP-020</x:v>
      </x:c>
      <x:c r="B24" s="28" t="str">
        <x:v>FF-03</x:v>
      </x:c>
      <x:c r="C24" s="28" t="str">
        <x:v>Automated Drift Alerts &amp; Retraining Trigger</x:v>
      </x:c>
      <x:c r="D24" s="28" t="str">
        <x:v>Detective</x:v>
      </x:c>
      <x:c r="E24" s="28" t="str">
        <x:v>Dr. Ada Duckfield - Head of Data &amp; AI</x:v>
      </x:c>
      <x:c r="F24" s="28" t="str">
        <x:v>Applicable</x:v>
      </x:c>
      <x:c r="G24" s="28" t="str">
        <x:v>AI-003 — FeatherForecast</x:v>
      </x:c>
      <x:c r="H24" s="28" t="str">
        <x:v>Included because Automated Drift Alerts &amp; Retraining Trigger directly treats AI-003-R02 within AI-003 — FeatherForecast.</x:v>
      </x:c>
      <x:c r="I24" s="28" t="str">
        <x:v>Outside AI-003 — FeatherForecast, the control is not automatically applicable unless another AI entry adopts the same risk/control pattern; portfolio-wide controls remain applicable.</x:v>
      </x:c>
      <x:c r="J24" s="28" t="str">
        <x:v>AI-003-R02</x:v>
      </x:c>
      <x:c r="K24" s="28" t="str">
        <x:v>Planned</x:v>
      </x:c>
      <x:c r="L24" s="28" t="str">
        <x:v>None linked</x:v>
      </x:c>
      <x:c r="M24" s="28" t="str">
        <x:v>Planned</x:v>
      </x:c>
      <x:c r="N24" s="28" t="str">
        <x:v>No</x:v>
      </x:c>
      <x:c r="O24" s="28" t="str">
        <x:v>No current risk-reduction credit</x:v>
      </x:c>
      <x:c r="P24" s="28" t="str">
        <x:v>Design only or not implemented — evidence absent</x:v>
      </x:c>
      <x:c r="Q24" s="28" t="str">
        <x:v>Implement the control, assign stable evidence IDs, operate it over a defined period and test it.</x:v>
      </x:c>
      <x:c r="R24" s="28" t="str">
        <x:v>Approved within bounded synthetic portfolio exercise</x:v>
      </x:c>
      <x:c r="S24" s="28" t="str">
        <x:v>Reginald Duckman - Chief Risk &amp; Compliance Officer</x:v>
      </x:c>
      <x:c r="T24" s="28" t="str">
        <x:v>2026-09-09</x:v>
      </x:c>
      <x:c r="U24" s="28" t="str">
        <x:v>2026-12-31</x:v>
      </x:c>
      <x:c r="V24" s="28" t="str">
        <x:v>Material system, risk, control, evidence, supplier, legal, lifecycle or AIMS-scope change; failed validation; overdue review</x:v>
      </x:c>
    </x:row>
    <x:row r="25">
      <x:c r="A25" s="28" t="str">
        <x:v>APP-021</x:v>
      </x:c>
      <x:c r="B25" s="28" t="str">
        <x:v>FF-04</x:v>
      </x:c>
      <x:c r="C25" s="28" t="str">
        <x:v>Supplier/Planning Data Access &amp; Logging</x:v>
      </x:c>
      <x:c r="D25" s="28" t="str">
        <x:v>Preventive</x:v>
      </x:c>
      <x:c r="E25" s="28" t="str">
        <x:v>Tobias Duckman - Director Supply Chain</x:v>
      </x:c>
      <x:c r="F25" s="28" t="str">
        <x:v>Applicable</x:v>
      </x:c>
      <x:c r="G25" s="28" t="str">
        <x:v>AI-003 — FeatherForecast</x:v>
      </x:c>
      <x:c r="H25" s="28" t="str">
        <x:v>Included because Supplier/Planning Data Access &amp; Logging directly treats AI-003-R03 within AI-003 — FeatherForecast.</x:v>
      </x:c>
      <x:c r="I25" s="28" t="str">
        <x:v>Outside AI-003 — FeatherForecast, the control is not automatically applicable unless another AI entry adopts the same risk/control pattern; portfolio-wide controls remain applicable.</x:v>
      </x:c>
      <x:c r="J25" s="28" t="str">
        <x:v>AI-003-R03</x:v>
      </x:c>
      <x:c r="K25" s="28" t="str">
        <x:v>Partially implemented</x:v>
      </x:c>
      <x:c r="L25" s="28" t="str">
        <x:v>None linked</x:v>
      </x:c>
      <x:c r="M25" s="28" t="str">
        <x:v>Design/status assertion — evidence ID absent</x:v>
      </x:c>
      <x:c r="N25" s="28" t="str">
        <x:v>No</x:v>
      </x:c>
      <x:c r="O25" s="28" t="str">
        <x:v>No additional credit</x:v>
      </x:c>
      <x:c r="P25" s="28" t="str">
        <x:v>Design/status assertion — evidence absent</x:v>
      </x:c>
      <x:c r="Q25" s="28" t="str">
        <x:v>Provide implementation and operating evidence with a stable evidence ID.</x:v>
      </x:c>
      <x:c r="R25" s="28" t="str">
        <x:v>Approved within bounded synthetic portfolio exercise</x:v>
      </x:c>
      <x:c r="S25" s="28" t="str">
        <x:v>Reginald Duckman - Chief Risk &amp; Compliance Officer</x:v>
      </x:c>
      <x:c r="T25" s="28" t="str">
        <x:v>2026-09-09</x:v>
      </x:c>
      <x:c r="U25" s="28" t="str">
        <x:v>2026-12-31</x:v>
      </x:c>
      <x:c r="V25" s="28" t="str">
        <x:v>Material system, risk, control, evidence, supplier, legal, lifecycle or AIMS-scope change; failed validation; overdue review</x:v>
      </x:c>
    </x:row>
    <x:row r="26">
      <x:c r="A26" s="28" t="str">
        <x:v>APP-022</x:v>
      </x:c>
      <x:c r="B26" s="28" t="str">
        <x:v>PG-01</x:v>
      </x:c>
      <x:c r="C26" s="28" t="str">
        <x:v>Permission-Aware Retrieval</x:v>
      </x:c>
      <x:c r="D26" s="28" t="str">
        <x:v>Preventive</x:v>
      </x:c>
      <x:c r="E26" s="28" t="str">
        <x:v>Oliver Duckett - Head of IT &amp; Cloud</x:v>
      </x:c>
      <x:c r="F26" s="28" t="str">
        <x:v>Applicable</x:v>
      </x:c>
      <x:c r="G26" s="28" t="str">
        <x:v>AI-006 — PondGPT</x:v>
      </x:c>
      <x:c r="H26" s="28" t="str">
        <x:v>Included because Permission-Aware Retrieval directly treats AI-006-R01 within AI-006 — PondGPT.</x:v>
      </x:c>
      <x:c r="I26" s="28" t="str">
        <x:v>Outside AI-006 — PondGPT, the control is not automatically applicable unless another AI entry adopts the same risk/control pattern; portfolio-wide controls remain applicable.</x:v>
      </x:c>
      <x:c r="J26" s="28" t="str">
        <x:v>AI-006-R01</x:v>
      </x:c>
      <x:c r="K26" s="28" t="str">
        <x:v>Partially implemented</x:v>
      </x:c>
      <x:c r="L26" s="28" t="str">
        <x:v>EV-AI006-001; EV-AI006-002</x:v>
      </x:c>
      <x:c r="M26" s="28" t="str">
        <x:v>Synthetic implementation/operation demonstrated; production effectiveness unverified; applicability evidence reconciled in EV-AIMS-017 through EV-AIMS-020</x:v>
      </x:c>
      <x:c r="N26" s="28" t="str">
        <x:v>No</x:v>
      </x:c>
      <x:c r="O26" s="28" t="str">
        <x:v>No production risk-reduction credit</x:v>
      </x:c>
      <x:c r="P26" s="28" t="str">
        <x:v>Bounded synthetic evidence linked; production effectiveness unverified</x:v>
      </x:c>
      <x:c r="Q26" s="28" t="str">
        <x:v>Add version-bound production operating and outcome evidence, including population, period, exceptions, review and approval.</x:v>
      </x:c>
      <x:c r="R26" s="28" t="str">
        <x:v>Approved within bounded synthetic portfolio exercise</x:v>
      </x:c>
      <x:c r="S26" s="28" t="str">
        <x:v>Reginald Duckman - Chief Risk &amp; Compliance Officer</x:v>
      </x:c>
      <x:c r="T26" s="28" t="str">
        <x:v>2026-09-09</x:v>
      </x:c>
      <x:c r="U26" s="28" t="str">
        <x:v>2026-12-31</x:v>
      </x:c>
      <x:c r="V26" s="28" t="str">
        <x:v>Material system, risk, control, evidence, supplier, legal, lifecycle or AIMS-scope change; failed validation; overdue review</x:v>
      </x:c>
    </x:row>
    <x:row r="27">
      <x:c r="A27" s="28" t="str">
        <x:v>APP-023</x:v>
      </x:c>
      <x:c r="B27" s="28" t="str">
        <x:v>PG-02</x:v>
      </x:c>
      <x:c r="C27" s="28" t="str">
        <x:v>Automated Permission Regression &amp; DLP Tests</x:v>
      </x:c>
      <x:c r="D27" s="28" t="str">
        <x:v>Detective</x:v>
      </x:c>
      <x:c r="E27" s="28" t="str">
        <x:v>Oliver Duckett - Head of IT &amp; Cloud</x:v>
      </x:c>
      <x:c r="F27" s="28" t="str">
        <x:v>Applicable</x:v>
      </x:c>
      <x:c r="G27" s="28" t="str">
        <x:v>AI-006 — PondGPT</x:v>
      </x:c>
      <x:c r="H27" s="28" t="str">
        <x:v>Included because Automated Permission Regression &amp; DLP Tests directly treats AI-006-R01 within AI-006 — PondGPT.</x:v>
      </x:c>
      <x:c r="I27" s="28" t="str">
        <x:v>Outside AI-006 — PondGPT, the control is not automatically applicable unless another AI entry adopts the same risk/control pattern; portfolio-wide controls remain applicable.</x:v>
      </x:c>
      <x:c r="J27" s="28" t="str">
        <x:v>AI-006-R01</x:v>
      </x:c>
      <x:c r="K27" s="28" t="str">
        <x:v>Partially implemented</x:v>
      </x:c>
      <x:c r="L27" s="28" t="str">
        <x:v>EV-AI006-001; EV-AI006-002; EV-AI006-003; EV-AI006-004; EV-AI006-005; EV-AI006-006</x:v>
      </x:c>
      <x:c r="M27" s="28" t="str">
        <x:v>Synthetic implementation/operation demonstrated; production effectiveness unverified; applicability evidence reconciled in EV-AIMS-017 through EV-AIMS-020</x:v>
      </x:c>
      <x:c r="N27" s="28" t="str">
        <x:v>No</x:v>
      </x:c>
      <x:c r="O27" s="28" t="str">
        <x:v>No production risk-reduction credit</x:v>
      </x:c>
      <x:c r="P27" s="28" t="str">
        <x:v>Bounded synthetic evidence linked; production effectiveness unverified</x:v>
      </x:c>
      <x:c r="Q27" s="28" t="str">
        <x:v>Add version-bound production operating and outcome evidence, including population, period, exceptions, review and approval.</x:v>
      </x:c>
      <x:c r="R27" s="28" t="str">
        <x:v>Approved within bounded synthetic portfolio exercise</x:v>
      </x:c>
      <x:c r="S27" s="28" t="str">
        <x:v>Reginald Duckman - Chief Risk &amp; Compliance Officer</x:v>
      </x:c>
      <x:c r="T27" s="28" t="str">
        <x:v>2026-09-09</x:v>
      </x:c>
      <x:c r="U27" s="28" t="str">
        <x:v>2026-12-31</x:v>
      </x:c>
      <x:c r="V27" s="28" t="str">
        <x:v>Material system, risk, control, evidence, supplier, legal, lifecycle or AIMS-scope change; failed validation; overdue review</x:v>
      </x:c>
    </x:row>
    <x:row r="28">
      <x:c r="A28" s="28" t="str">
        <x:v>APP-024</x:v>
      </x:c>
      <x:c r="B28" s="28" t="str">
        <x:v>PG-03</x:v>
      </x:c>
      <x:c r="C28" s="28" t="str">
        <x:v>Prompt Injection &amp; RAG Poisoning Test Suite</x:v>
      </x:c>
      <x:c r="D28" s="28" t="str">
        <x:v>Detective</x:v>
      </x:c>
      <x:c r="E28" s="28" t="str">
        <x:v>Cassandra Duckley - Chief Information Security Officer</x:v>
      </x:c>
      <x:c r="F28" s="28" t="str">
        <x:v>Applicable</x:v>
      </x:c>
      <x:c r="G28" s="28" t="str">
        <x:v>AI-006 — PondGPT</x:v>
      </x:c>
      <x:c r="H28" s="28" t="str">
        <x:v>Included because Prompt Injection &amp; RAG Poisoning Test Suite directly treats AI-006-R02 within AI-006 — PondGPT.</x:v>
      </x:c>
      <x:c r="I28" s="28" t="str">
        <x:v>Outside AI-006 — PondGPT, the control is not automatically applicable unless another AI entry adopts the same risk/control pattern; portfolio-wide controls remain applicable.</x:v>
      </x:c>
      <x:c r="J28" s="28" t="str">
        <x:v>AI-006-R02</x:v>
      </x:c>
      <x:c r="K28" s="28" t="str">
        <x:v>Planned</x:v>
      </x:c>
      <x:c r="L28" s="28" t="str">
        <x:v>None linked</x:v>
      </x:c>
      <x:c r="M28" s="28" t="str">
        <x:v>Planned</x:v>
      </x:c>
      <x:c r="N28" s="28" t="str">
        <x:v>No</x:v>
      </x:c>
      <x:c r="O28" s="28" t="str">
        <x:v>No current risk-reduction credit</x:v>
      </x:c>
      <x:c r="P28" s="28" t="str">
        <x:v>Design only or not implemented — evidence absent</x:v>
      </x:c>
      <x:c r="Q28" s="28" t="str">
        <x:v>Implement the control, assign stable evidence IDs, operate it over a defined period and test it.</x:v>
      </x:c>
      <x:c r="R28" s="28" t="str">
        <x:v>Approved within bounded synthetic portfolio exercise</x:v>
      </x:c>
      <x:c r="S28" s="28" t="str">
        <x:v>Reginald Duckman - Chief Risk &amp; Compliance Officer</x:v>
      </x:c>
      <x:c r="T28" s="28" t="str">
        <x:v>2026-09-09</x:v>
      </x:c>
      <x:c r="U28" s="28" t="str">
        <x:v>2026-12-31</x:v>
      </x:c>
      <x:c r="V28" s="28" t="str">
        <x:v>Material system, risk, control, evidence, supplier, legal, lifecycle or AIMS-scope change; failed validation; overdue review</x:v>
      </x:c>
    </x:row>
    <x:row r="29">
      <x:c r="A29" s="28" t="str">
        <x:v>APP-025</x:v>
      </x:c>
      <x:c r="B29" s="28" t="str">
        <x:v>PG-04</x:v>
      </x:c>
      <x:c r="C29" s="28" t="str">
        <x:v>Tool Sandboxing &amp; Allowlisted Actions</x:v>
      </x:c>
      <x:c r="D29" s="28" t="str">
        <x:v>Preventive</x:v>
      </x:c>
      <x:c r="E29" s="28" t="str">
        <x:v>Oliver Duckett - Head of IT &amp; Cloud</x:v>
      </x:c>
      <x:c r="F29" s="28" t="str">
        <x:v>Applicable</x:v>
      </x:c>
      <x:c r="G29" s="28" t="str">
        <x:v>AI-006 — PondGPT</x:v>
      </x:c>
      <x:c r="H29" s="28" t="str">
        <x:v>Included because Tool Sandboxing &amp; Allowlisted Actions directly treats AI-006-R02 within AI-006 — PondGPT.</x:v>
      </x:c>
      <x:c r="I29" s="28" t="str">
        <x:v>Outside AI-006 — PondGPT, the control is not automatically applicable unless another AI entry adopts the same risk/control pattern; portfolio-wide controls remain applicable.</x:v>
      </x:c>
      <x:c r="J29" s="28" t="str">
        <x:v>AI-006-R02</x:v>
      </x:c>
      <x:c r="K29" s="28" t="str">
        <x:v>Partially implemented</x:v>
      </x:c>
      <x:c r="L29" s="28" t="str">
        <x:v>None linked</x:v>
      </x:c>
      <x:c r="M29" s="28" t="str">
        <x:v>Design/status assertion — evidence ID absent</x:v>
      </x:c>
      <x:c r="N29" s="28" t="str">
        <x:v>No</x:v>
      </x:c>
      <x:c r="O29" s="28" t="str">
        <x:v>No additional credit</x:v>
      </x:c>
      <x:c r="P29" s="28" t="str">
        <x:v>Design/status assertion — evidence absent</x:v>
      </x:c>
      <x:c r="Q29" s="28" t="str">
        <x:v>Provide implementation and operating evidence with a stable evidence ID.</x:v>
      </x:c>
      <x:c r="R29" s="28" t="str">
        <x:v>Approved within bounded synthetic portfolio exercise</x:v>
      </x:c>
      <x:c r="S29" s="28" t="str">
        <x:v>Reginald Duckman - Chief Risk &amp; Compliance Officer</x:v>
      </x:c>
      <x:c r="T29" s="28" t="str">
        <x:v>2026-09-09</x:v>
      </x:c>
      <x:c r="U29" s="28" t="str">
        <x:v>2026-12-31</x:v>
      </x:c>
      <x:c r="V29" s="28" t="str">
        <x:v>Material system, risk, control, evidence, supplier, legal, lifecycle or AIMS-scope change; failed validation; overdue review</x:v>
      </x:c>
    </x:row>
    <x:row r="30">
      <x:c r="A30" s="28" t="str">
        <x:v>APP-026</x:v>
      </x:c>
      <x:c r="B30" s="28" t="str">
        <x:v>PG-05</x:v>
      </x:c>
      <x:c r="C30" s="28" t="str">
        <x:v>GenAI Security Logging &amp; Alerting</x:v>
      </x:c>
      <x:c r="D30" s="28" t="str">
        <x:v>Detective</x:v>
      </x:c>
      <x:c r="E30" s="28" t="str">
        <x:v>Cassandra Duckley - Chief Information Security Officer</x:v>
      </x:c>
      <x:c r="F30" s="28" t="str">
        <x:v>Applicable</x:v>
      </x:c>
      <x:c r="G30" s="28" t="str">
        <x:v>AI-006 — PondGPT</x:v>
      </x:c>
      <x:c r="H30" s="28" t="str">
        <x:v>Included because GenAI Security Logging &amp; Alerting directly treats AI-006-R01; AI-006-R02; AI-006-R03 within AI-006 — PondGPT.</x:v>
      </x:c>
      <x:c r="I30" s="28" t="str">
        <x:v>Outside AI-006 — PondGPT, the control is not automatically applicable unless another AI entry adopts the same risk/control pattern; portfolio-wide controls remain applicable.</x:v>
      </x:c>
      <x:c r="J30" s="28" t="str">
        <x:v>AI-006-R01; AI-006-R02; AI-006-R03</x:v>
      </x:c>
      <x:c r="K30" s="28" t="str">
        <x:v>Partially implemented</x:v>
      </x:c>
      <x:c r="L30" s="28" t="str">
        <x:v>None linked</x:v>
      </x:c>
      <x:c r="M30" s="28" t="str">
        <x:v>Design/status assertion — evidence ID absent</x:v>
      </x:c>
      <x:c r="N30" s="28" t="str">
        <x:v>No</x:v>
      </x:c>
      <x:c r="O30" s="28" t="str">
        <x:v>No additional credit</x:v>
      </x:c>
      <x:c r="P30" s="28" t="str">
        <x:v>Design/status assertion — evidence absent</x:v>
      </x:c>
      <x:c r="Q30" s="28" t="str">
        <x:v>Provide implementation and operating evidence with a stable evidence ID.</x:v>
      </x:c>
      <x:c r="R30" s="28" t="str">
        <x:v>Approved within bounded synthetic portfolio exercise</x:v>
      </x:c>
      <x:c r="S30" s="28" t="str">
        <x:v>Reginald Duckman - Chief Risk &amp; Compliance Officer</x:v>
      </x:c>
      <x:c r="T30" s="28" t="str">
        <x:v>2026-09-09</x:v>
      </x:c>
      <x:c r="U30" s="28" t="str">
        <x:v>2026-12-31</x:v>
      </x:c>
      <x:c r="V30" s="28" t="str">
        <x:v>Material system, risk, control, evidence, supplier, legal, lifecycle or AIMS-scope change; failed validation; overdue review</x:v>
      </x:c>
    </x:row>
    <x:row r="31">
      <x:c r="A31" s="28" t="str">
        <x:v>APP-027</x:v>
      </x:c>
      <x:c r="B31" s="28" t="str">
        <x:v>PG-06</x:v>
      </x:c>
      <x:c r="C31" s="28" t="str">
        <x:v>Secure Output Verification &amp; Code Scanning</x:v>
      </x:c>
      <x:c r="D31" s="28" t="str">
        <x:v>Preventive</x:v>
      </x:c>
      <x:c r="E31" s="28" t="str">
        <x:v>Dr. Ada Duckfield - Head of Data &amp; AI</x:v>
      </x:c>
      <x:c r="F31" s="28" t="str">
        <x:v>Applicable</x:v>
      </x:c>
      <x:c r="G31" s="28" t="str">
        <x:v>AI-006 — PondGPT</x:v>
      </x:c>
      <x:c r="H31" s="28" t="str">
        <x:v>Included because Secure Output Verification &amp; Code Scanning directly treats AI-006-R03 within AI-006 — PondGPT.</x:v>
      </x:c>
      <x:c r="I31" s="28" t="str">
        <x:v>Outside AI-006 — PondGPT, the control is not automatically applicable unless another AI entry adopts the same risk/control pattern; portfolio-wide controls remain applicable.</x:v>
      </x:c>
      <x:c r="J31" s="28" t="str">
        <x:v>AI-006-R03</x:v>
      </x:c>
      <x:c r="K31" s="28" t="str">
        <x:v>Partially implemented</x:v>
      </x:c>
      <x:c r="L31" s="28" t="str">
        <x:v>None linked</x:v>
      </x:c>
      <x:c r="M31" s="28" t="str">
        <x:v>Design/status assertion — evidence ID absent</x:v>
      </x:c>
      <x:c r="N31" s="28" t="str">
        <x:v>No</x:v>
      </x:c>
      <x:c r="O31" s="28" t="str">
        <x:v>No additional credit</x:v>
      </x:c>
      <x:c r="P31" s="28" t="str">
        <x:v>Design/status assertion — evidence absent</x:v>
      </x:c>
      <x:c r="Q31" s="28" t="str">
        <x:v>Provide implementation and operating evidence with a stable evidence ID.</x:v>
      </x:c>
      <x:c r="R31" s="28" t="str">
        <x:v>Approved within bounded synthetic portfolio exercise</x:v>
      </x:c>
      <x:c r="S31" s="28" t="str">
        <x:v>Reginald Duckman - Chief Risk &amp; Compliance Officer</x:v>
      </x:c>
      <x:c r="T31" s="28" t="str">
        <x:v>2026-09-09</x:v>
      </x:c>
      <x:c r="U31" s="28" t="str">
        <x:v>2026-12-31</x:v>
      </x:c>
      <x:c r="V31" s="28" t="str">
        <x:v>Material system, risk, control, evidence, supplier, legal, lifecycle or AIMS-scope change; failed validation; overdue review</x:v>
      </x:c>
    </x:row>
    <x:row r="32">
      <x:c r="A32" s="28" t="str">
        <x:v>APP-028</x:v>
      </x:c>
      <x:c r="B32" s="28" t="str">
        <x:v>QB-01</x:v>
      </x:c>
      <x:c r="C32" s="28" t="str">
        <x:v>Curated RAG Source Allowlist</x:v>
      </x:c>
      <x:c r="D32" s="28" t="str">
        <x:v>Preventive</x:v>
      </x:c>
      <x:c r="E32" s="28" t="str">
        <x:v>Clara Duckley - Director Customer Operations</x:v>
      </x:c>
      <x:c r="F32" s="28" t="str">
        <x:v>Applicable</x:v>
      </x:c>
      <x:c r="G32" s="28" t="str">
        <x:v>AI-002 — QuackBot</x:v>
      </x:c>
      <x:c r="H32" s="28" t="str">
        <x:v>Included because Curated RAG Source Allowlist directly treats AI-002-R01; AI-002-R03 within AI-002 — QuackBot.</x:v>
      </x:c>
      <x:c r="I32" s="28" t="str">
        <x:v>Outside AI-002 — QuackBot, the control is not automatically applicable unless another AI entry adopts the same risk/control pattern; portfolio-wide controls remain applicable.</x:v>
      </x:c>
      <x:c r="J32" s="28" t="str">
        <x:v>AI-002-R01; AI-002-R03</x:v>
      </x:c>
      <x:c r="K32" s="28" t="str">
        <x:v>Partially implemented</x:v>
      </x:c>
      <x:c r="L32" s="28" t="str">
        <x:v>None linked</x:v>
      </x:c>
      <x:c r="M32" s="28" t="str">
        <x:v>Design/status assertion — evidence ID absent</x:v>
      </x:c>
      <x:c r="N32" s="28" t="str">
        <x:v>No</x:v>
      </x:c>
      <x:c r="O32" s="28" t="str">
        <x:v>No additional credit</x:v>
      </x:c>
      <x:c r="P32" s="28" t="str">
        <x:v>Design/status assertion — evidence absent</x:v>
      </x:c>
      <x:c r="Q32" s="28" t="str">
        <x:v>Provide implementation and operating evidence with a stable evidence ID.</x:v>
      </x:c>
      <x:c r="R32" s="28" t="str">
        <x:v>Approved within bounded synthetic portfolio exercise</x:v>
      </x:c>
      <x:c r="S32" s="28" t="str">
        <x:v>Reginald Duckman - Chief Risk &amp; Compliance Officer</x:v>
      </x:c>
      <x:c r="T32" s="28" t="str">
        <x:v>2026-09-09</x:v>
      </x:c>
      <x:c r="U32" s="28" t="str">
        <x:v>2026-12-31</x:v>
      </x:c>
      <x:c r="V32" s="28" t="str">
        <x:v>Material system, risk, control, evidence, supplier, legal, lifecycle or AIMS-scope change; failed validation; overdue review</x:v>
      </x:c>
    </x:row>
    <x:row r="33">
      <x:c r="A33" s="28" t="str">
        <x:v>APP-029</x:v>
      </x:c>
      <x:c r="B33" s="28" t="str">
        <x:v>QB-02</x:v>
      </x:c>
      <x:c r="C33" s="28" t="str">
        <x:v>Grounding, Citation &amp; Abstention Rules</x:v>
      </x:c>
      <x:c r="D33" s="28" t="str">
        <x:v>Preventive</x:v>
      </x:c>
      <x:c r="E33" s="28" t="str">
        <x:v>Dr. Ada Duckfield - Head of Data &amp; AI</x:v>
      </x:c>
      <x:c r="F33" s="28" t="str">
        <x:v>Applicable</x:v>
      </x:c>
      <x:c r="G33" s="28" t="str">
        <x:v>AI-002 — QuackBot</x:v>
      </x:c>
      <x:c r="H33" s="28" t="str">
        <x:v>Included because Grounding, Citation &amp; Abstention Rules directly treats AI-002-R01; AI-002-R03 within AI-002 — QuackBot.</x:v>
      </x:c>
      <x:c r="I33" s="28" t="str">
        <x:v>Outside AI-002 — QuackBot, the control is not automatically applicable unless another AI entry adopts the same risk/control pattern; portfolio-wide controls remain applicable.</x:v>
      </x:c>
      <x:c r="J33" s="28" t="str">
        <x:v>AI-002-R01; AI-002-R03</x:v>
      </x:c>
      <x:c r="K33" s="28" t="str">
        <x:v>Planned</x:v>
      </x:c>
      <x:c r="L33" s="28" t="str">
        <x:v>None linked</x:v>
      </x:c>
      <x:c r="M33" s="28" t="str">
        <x:v>Planned</x:v>
      </x:c>
      <x:c r="N33" s="28" t="str">
        <x:v>No</x:v>
      </x:c>
      <x:c r="O33" s="28" t="str">
        <x:v>No current risk-reduction credit</x:v>
      </x:c>
      <x:c r="P33" s="28" t="str">
        <x:v>Design only or not implemented — evidence absent</x:v>
      </x:c>
      <x:c r="Q33" s="28" t="str">
        <x:v>Implement the control, assign stable evidence IDs, operate it over a defined period and test it.</x:v>
      </x:c>
      <x:c r="R33" s="28" t="str">
        <x:v>Approved within bounded synthetic portfolio exercise</x:v>
      </x:c>
      <x:c r="S33" s="28" t="str">
        <x:v>Reginald Duckman - Chief Risk &amp; Compliance Officer</x:v>
      </x:c>
      <x:c r="T33" s="28" t="str">
        <x:v>2026-09-09</x:v>
      </x:c>
      <x:c r="U33" s="28" t="str">
        <x:v>2026-12-31</x:v>
      </x:c>
      <x:c r="V33" s="28" t="str">
        <x:v>Material system, risk, control, evidence, supplier, legal, lifecycle or AIMS-scope change; failed validation; overdue review</x:v>
      </x:c>
    </x:row>
    <x:row r="34">
      <x:c r="A34" s="28" t="str">
        <x:v>APP-030</x:v>
      </x:c>
      <x:c r="B34" s="28" t="str">
        <x:v>QB-03</x:v>
      </x:c>
      <x:c r="C34" s="28" t="str">
        <x:v>Human Escalation SLA</x:v>
      </x:c>
      <x:c r="D34" s="28" t="str">
        <x:v>Corrective</x:v>
      </x:c>
      <x:c r="E34" s="28" t="str">
        <x:v>Clara Duckley - Director Customer Operations</x:v>
      </x:c>
      <x:c r="F34" s="28" t="str">
        <x:v>Applicable</x:v>
      </x:c>
      <x:c r="G34" s="28" t="str">
        <x:v>AI-002 — QuackBot</x:v>
      </x:c>
      <x:c r="H34" s="28" t="str">
        <x:v>Included because Human Escalation SLA directly treats AI-002-R01; AI-002-R03 within AI-002 — QuackBot.</x:v>
      </x:c>
      <x:c r="I34" s="28" t="str">
        <x:v>Outside AI-002 — QuackBot, the control is not automatically applicable unless another AI entry adopts the same risk/control pattern; portfolio-wide controls remain applicable.</x:v>
      </x:c>
      <x:c r="J34" s="28" t="str">
        <x:v>AI-002-R01; AI-002-R03</x:v>
      </x:c>
      <x:c r="K34" s="28" t="str">
        <x:v>Partially implemented</x:v>
      </x:c>
      <x:c r="L34" s="28" t="str">
        <x:v>None linked</x:v>
      </x:c>
      <x:c r="M34" s="28" t="str">
        <x:v>Design/status assertion — evidence ID absent</x:v>
      </x:c>
      <x:c r="N34" s="28" t="str">
        <x:v>No</x:v>
      </x:c>
      <x:c r="O34" s="28" t="str">
        <x:v>No additional credit</x:v>
      </x:c>
      <x:c r="P34" s="28" t="str">
        <x:v>Design/status assertion — evidence absent</x:v>
      </x:c>
      <x:c r="Q34" s="28" t="str">
        <x:v>Provide implementation and operating evidence with a stable evidence ID.</x:v>
      </x:c>
      <x:c r="R34" s="28" t="str">
        <x:v>Approved within bounded synthetic portfolio exercise</x:v>
      </x:c>
      <x:c r="S34" s="28" t="str">
        <x:v>Reginald Duckman - Chief Risk &amp; Compliance Officer</x:v>
      </x:c>
      <x:c r="T34" s="28" t="str">
        <x:v>2026-09-09</x:v>
      </x:c>
      <x:c r="U34" s="28" t="str">
        <x:v>2026-12-31</x:v>
      </x:c>
      <x:c r="V34" s="28" t="str">
        <x:v>Material system, risk, control, evidence, supplier, legal, lifecycle or AIMS-scope change; failed validation; overdue review</x:v>
      </x:c>
    </x:row>
    <x:row r="35">
      <x:c r="A35" s="28" t="str">
        <x:v>APP-031</x:v>
      </x:c>
      <x:c r="B35" s="28" t="str">
        <x:v>QB-04</x:v>
      </x:c>
      <x:c r="C35" s="28" t="str">
        <x:v>Prompt Injection &amp; RAG Adversarial Testing</x:v>
      </x:c>
      <x:c r="D35" s="28" t="str">
        <x:v>Detective</x:v>
      </x:c>
      <x:c r="E35" s="28" t="str">
        <x:v>Cassandra Duckley - Chief Information Security Officer</x:v>
      </x:c>
      <x:c r="F35" s="28" t="str">
        <x:v>Applicable</x:v>
      </x:c>
      <x:c r="G35" s="28" t="str">
        <x:v>AI-002 — QuackBot</x:v>
      </x:c>
      <x:c r="H35" s="28" t="str">
        <x:v>Included because Prompt Injection &amp; RAG Adversarial Testing directly treats AI-002-R02 within AI-002 — QuackBot.</x:v>
      </x:c>
      <x:c r="I35" s="28" t="str">
        <x:v>Outside AI-002 — QuackBot, the control is not automatically applicable unless another AI entry adopts the same risk/control pattern; portfolio-wide controls remain applicable.</x:v>
      </x:c>
      <x:c r="J35" s="28" t="str">
        <x:v>AI-002-R02</x:v>
      </x:c>
      <x:c r="K35" s="28" t="str">
        <x:v>Planned</x:v>
      </x:c>
      <x:c r="L35" s="28" t="str">
        <x:v>None linked</x:v>
      </x:c>
      <x:c r="M35" s="28" t="str">
        <x:v>Planned</x:v>
      </x:c>
      <x:c r="N35" s="28" t="str">
        <x:v>No</x:v>
      </x:c>
      <x:c r="O35" s="28" t="str">
        <x:v>No current risk-reduction credit</x:v>
      </x:c>
      <x:c r="P35" s="28" t="str">
        <x:v>Design only or not implemented — evidence absent</x:v>
      </x:c>
      <x:c r="Q35" s="28" t="str">
        <x:v>Implement the control, assign stable evidence IDs, operate it over a defined period and test it.</x:v>
      </x:c>
      <x:c r="R35" s="28" t="str">
        <x:v>Approved within bounded synthetic portfolio exercise</x:v>
      </x:c>
      <x:c r="S35" s="28" t="str">
        <x:v>Reginald Duckman - Chief Risk &amp; Compliance Officer</x:v>
      </x:c>
      <x:c r="T35" s="28" t="str">
        <x:v>2026-09-09</x:v>
      </x:c>
      <x:c r="U35" s="28" t="str">
        <x:v>2026-12-31</x:v>
      </x:c>
      <x:c r="V35" s="28" t="str">
        <x:v>Material system, risk, control, evidence, supplier, legal, lifecycle or AIMS-scope change; failed validation; overdue review</x:v>
      </x:c>
    </x:row>
    <x:row r="36">
      <x:c r="A36" s="28" t="str">
        <x:v>APP-032</x:v>
      </x:c>
      <x:c r="B36" s="28" t="str">
        <x:v>QB-05</x:v>
      </x:c>
      <x:c r="C36" s="28" t="str">
        <x:v>Least-Privilege Retrieval &amp; Tool Boundaries</x:v>
      </x:c>
      <x:c r="D36" s="28" t="str">
        <x:v>Preventive</x:v>
      </x:c>
      <x:c r="E36" s="28" t="str">
        <x:v>Cassandra Duckley - Chief Information Security Officer</x:v>
      </x:c>
      <x:c r="F36" s="28" t="str">
        <x:v>Applicable</x:v>
      </x:c>
      <x:c r="G36" s="28" t="str">
        <x:v>AI-002 — QuackBot</x:v>
      </x:c>
      <x:c r="H36" s="28" t="str">
        <x:v>Included because Least-Privilege Retrieval &amp; Tool Boundaries directly treats AI-002-R02 within AI-002 — QuackBot.</x:v>
      </x:c>
      <x:c r="I36" s="28" t="str">
        <x:v>Outside AI-002 — QuackBot, the control is not automatically applicable unless another AI entry adopts the same risk/control pattern; portfolio-wide controls remain applicable.</x:v>
      </x:c>
      <x:c r="J36" s="28" t="str">
        <x:v>AI-002-R02</x:v>
      </x:c>
      <x:c r="K36" s="28" t="str">
        <x:v>Partially implemented</x:v>
      </x:c>
      <x:c r="L36" s="28" t="str">
        <x:v>None linked</x:v>
      </x:c>
      <x:c r="M36" s="28" t="str">
        <x:v>Design/status assertion — evidence ID absent</x:v>
      </x:c>
      <x:c r="N36" s="28" t="str">
        <x:v>No</x:v>
      </x:c>
      <x:c r="O36" s="28" t="str">
        <x:v>No additional credit</x:v>
      </x:c>
      <x:c r="P36" s="28" t="str">
        <x:v>Design/status assertion — evidence absent</x:v>
      </x:c>
      <x:c r="Q36" s="28" t="str">
        <x:v>Provide implementation and operating evidence with a stable evidence ID.</x:v>
      </x:c>
      <x:c r="R36" s="28" t="str">
        <x:v>Approved within bounded synthetic portfolio exercise</x:v>
      </x:c>
      <x:c r="S36" s="28" t="str">
        <x:v>Reginald Duckman - Chief Risk &amp; Compliance Officer</x:v>
      </x:c>
      <x:c r="T36" s="28" t="str">
        <x:v>2026-09-09</x:v>
      </x:c>
      <x:c r="U36" s="28" t="str">
        <x:v>2026-12-31</x:v>
      </x:c>
      <x:c r="V36" s="28" t="str">
        <x:v>Material system, risk, control, evidence, supplier, legal, lifecycle or AIMS-scope change; failed validation; overdue review</x:v>
      </x:c>
    </x:row>
    <x:row r="37">
      <x:c r="A37" s="28" t="str">
        <x:v>APP-033</x:v>
      </x:c>
      <x:c r="B37" s="28" t="str">
        <x:v>QB-06</x:v>
      </x:c>
      <x:c r="C37" s="28" t="str">
        <x:v>GenAI Security &amp; Harm Monitoring</x:v>
      </x:c>
      <x:c r="D37" s="28" t="str">
        <x:v>Detective</x:v>
      </x:c>
      <x:c r="E37" s="28" t="str">
        <x:v>Cassandra Duckley - Chief Information Security Officer</x:v>
      </x:c>
      <x:c r="F37" s="28" t="str">
        <x:v>Applicable</x:v>
      </x:c>
      <x:c r="G37" s="28" t="str">
        <x:v>AI-002 — QuackBot</x:v>
      </x:c>
      <x:c r="H37" s="28" t="str">
        <x:v>Included because GenAI Security &amp; Harm Monitoring directly treats AI-002-R01; AI-002-R02 within AI-002 — QuackBot.</x:v>
      </x:c>
      <x:c r="I37" s="28" t="str">
        <x:v>Outside AI-002 — QuackBot, the control is not automatically applicable unless another AI entry adopts the same risk/control pattern; portfolio-wide controls remain applicable.</x:v>
      </x:c>
      <x:c r="J37" s="28" t="str">
        <x:v>AI-002-R01; AI-002-R02</x:v>
      </x:c>
      <x:c r="K37" s="28" t="str">
        <x:v>Planned</x:v>
      </x:c>
      <x:c r="L37" s="28" t="str">
        <x:v>None linked</x:v>
      </x:c>
      <x:c r="M37" s="28" t="str">
        <x:v>Planned</x:v>
      </x:c>
      <x:c r="N37" s="28" t="str">
        <x:v>No</x:v>
      </x:c>
      <x:c r="O37" s="28" t="str">
        <x:v>No current risk-reduction credit</x:v>
      </x:c>
      <x:c r="P37" s="28" t="str">
        <x:v>Design only or not implemented — evidence absent</x:v>
      </x:c>
      <x:c r="Q37" s="28" t="str">
        <x:v>Implement the control, assign stable evidence IDs, operate it over a defined period and test it.</x:v>
      </x:c>
      <x:c r="R37" s="28" t="str">
        <x:v>Approved within bounded synthetic portfolio exercise</x:v>
      </x:c>
      <x:c r="S37" s="28" t="str">
        <x:v>Reginald Duckman - Chief Risk &amp; Compliance Officer</x:v>
      </x:c>
      <x:c r="T37" s="28" t="str">
        <x:v>2026-09-09</x:v>
      </x:c>
      <x:c r="U37" s="28" t="str">
        <x:v>2026-12-31</x:v>
      </x:c>
      <x:c r="V37" s="28" t="str">
        <x:v>Material system, risk, control, evidence, supplier, legal, lifecycle or AIMS-scope change; failed validation; overdue review</x:v>
      </x:c>
    </x:row>
    <x:row r="38">
      <x:c r="A38" s="28" t="str">
        <x:v>APP-034</x:v>
      </x:c>
      <x:c r="B38" s="28" t="str">
        <x:v>SH-01</x:v>
      </x:c>
      <x:c r="C38" s="28" t="str">
        <x:v>AI Acceptable Use Standard</x:v>
      </x:c>
      <x:c r="D38" s="28" t="str">
        <x:v>Preventive</x:v>
      </x:c>
      <x:c r="E38" s="28" t="str">
        <x:v>Cassandra Duckley - Chief Information Security Officer</x:v>
      </x:c>
      <x:c r="F38" s="28" t="str">
        <x:v>Applicable</x:v>
      </x:c>
      <x:c r="G38" s="28" t="str">
        <x:v>AI-007 — Unregistered GenAI Usage</x:v>
      </x:c>
      <x:c r="H38" s="28" t="str">
        <x:v>Included because AI Acceptable Use Standard directly treats AI-007-R01; AI-007-R02 within AI-007 — Unregistered GenAI Usage.</x:v>
      </x:c>
      <x:c r="I38" s="28" t="str">
        <x:v>Outside AI-007 — Unregistered GenAI Usage, the control is not automatically applicable unless another AI entry adopts the same risk/control pattern; portfolio-wide controls remain applicable.</x:v>
      </x:c>
      <x:c r="J38" s="28" t="str">
        <x:v>AI-007-R01; AI-007-R02</x:v>
      </x:c>
      <x:c r="K38" s="28" t="str">
        <x:v>Planned</x:v>
      </x:c>
      <x:c r="L38" s="28" t="str">
        <x:v>None linked</x:v>
      </x:c>
      <x:c r="M38" s="28" t="str">
        <x:v>Planned</x:v>
      </x:c>
      <x:c r="N38" s="28" t="str">
        <x:v>No</x:v>
      </x:c>
      <x:c r="O38" s="28" t="str">
        <x:v>No current risk-reduction credit</x:v>
      </x:c>
      <x:c r="P38" s="28" t="str">
        <x:v>Design only or not implemented — evidence absent</x:v>
      </x:c>
      <x:c r="Q38" s="28" t="str">
        <x:v>Implement the control, assign stable evidence IDs, operate it over a defined period and test it.</x:v>
      </x:c>
      <x:c r="R38" s="28" t="str">
        <x:v>Approved within bounded synthetic portfolio exercise</x:v>
      </x:c>
      <x:c r="S38" s="28" t="str">
        <x:v>Reginald Duckman - Chief Risk &amp; Compliance Officer</x:v>
      </x:c>
      <x:c r="T38" s="28" t="str">
        <x:v>2026-09-09</x:v>
      </x:c>
      <x:c r="U38" s="28" t="str">
        <x:v>2026-12-31</x:v>
      </x:c>
      <x:c r="V38" s="28" t="str">
        <x:v>Material system, risk, control, evidence, supplier, legal, lifecycle or AIMS-scope change; failed validation; overdue review</x:v>
      </x:c>
    </x:row>
    <x:row r="39">
      <x:c r="A39" s="28" t="str">
        <x:v>APP-035</x:v>
      </x:c>
      <x:c r="B39" s="28" t="str">
        <x:v>SH-02</x:v>
      </x:c>
      <x:c r="C39" s="28" t="str">
        <x:v>Approved AI Tool Catalogue &amp; Vendor Allowlist</x:v>
      </x:c>
      <x:c r="D39" s="28" t="str">
        <x:v>Preventive</x:v>
      </x:c>
      <x:c r="E39" s="28" t="str">
        <x:v>Percival Duckworth - Director Procurement &amp; Vendor Assurance</x:v>
      </x:c>
      <x:c r="F39" s="28" t="str">
        <x:v>Applicable</x:v>
      </x:c>
      <x:c r="G39" s="28" t="str">
        <x:v>AI-007 — Unregistered GenAI Usage</x:v>
      </x:c>
      <x:c r="H39" s="28" t="str">
        <x:v>Included because Approved AI Tool Catalogue &amp; Vendor Allowlist directly treats AI-007-R01; AI-007-R03 within AI-007 — Unregistered GenAI Usage.</x:v>
      </x:c>
      <x:c r="I39" s="28" t="str">
        <x:v>Outside AI-007 — Unregistered GenAI Usage, the control is not automatically applicable unless another AI entry adopts the same risk/control pattern; portfolio-wide controls remain applicable.</x:v>
      </x:c>
      <x:c r="J39" s="28" t="str">
        <x:v>AI-007-R01; AI-007-R03</x:v>
      </x:c>
      <x:c r="K39" s="28" t="str">
        <x:v>Planned</x:v>
      </x:c>
      <x:c r="L39" s="28" t="str">
        <x:v>None linked</x:v>
      </x:c>
      <x:c r="M39" s="28" t="str">
        <x:v>Planned</x:v>
      </x:c>
      <x:c r="N39" s="28" t="str">
        <x:v>No</x:v>
      </x:c>
      <x:c r="O39" s="28" t="str">
        <x:v>No current risk-reduction credit</x:v>
      </x:c>
      <x:c r="P39" s="28" t="str">
        <x:v>Design only or not implemented — evidence absent</x:v>
      </x:c>
      <x:c r="Q39" s="28" t="str">
        <x:v>Implement the control, assign stable evidence IDs, operate it over a defined period and test it.</x:v>
      </x:c>
      <x:c r="R39" s="28" t="str">
        <x:v>Approved within bounded synthetic portfolio exercise</x:v>
      </x:c>
      <x:c r="S39" s="28" t="str">
        <x:v>Reginald Duckman - Chief Risk &amp; Compliance Officer</x:v>
      </x:c>
      <x:c r="T39" s="28" t="str">
        <x:v>2026-09-09</x:v>
      </x:c>
      <x:c r="U39" s="28" t="str">
        <x:v>2026-12-31</x:v>
      </x:c>
      <x:c r="V39" s="28" t="str">
        <x:v>Material system, risk, control, evidence, supplier, legal, lifecycle or AIMS-scope change; failed validation; overdue review</x:v>
      </x:c>
    </x:row>
    <x:row r="40">
      <x:c r="A40" s="28" t="str">
        <x:v>APP-036</x:v>
      </x:c>
      <x:c r="B40" s="28" t="str">
        <x:v>SH-03</x:v>
      </x:c>
      <x:c r="C40" s="28" t="str">
        <x:v>Shadow AI Discovery, DLP &amp; Blocking</x:v>
      </x:c>
      <x:c r="D40" s="28" t="str">
        <x:v>Detective</x:v>
      </x:c>
      <x:c r="E40" s="28" t="str">
        <x:v>Cassandra Duckley - Chief Information Security Officer</x:v>
      </x:c>
      <x:c r="F40" s="28" t="str">
        <x:v>Applicable</x:v>
      </x:c>
      <x:c r="G40" s="28" t="str">
        <x:v>AI-007 — Unregistered GenAI Usage</x:v>
      </x:c>
      <x:c r="H40" s="28" t="str">
        <x:v>Included because Shadow AI Discovery, DLP &amp; Blocking directly treats AI-007-R01 within AI-007 — Unregistered GenAI Usage.</x:v>
      </x:c>
      <x:c r="I40" s="28" t="str">
        <x:v>Outside AI-007 — Unregistered GenAI Usage, the control is not automatically applicable unless another AI entry adopts the same risk/control pattern; portfolio-wide controls remain applicable.</x:v>
      </x:c>
      <x:c r="J40" s="28" t="str">
        <x:v>AI-007-R01</x:v>
      </x:c>
      <x:c r="K40" s="28" t="str">
        <x:v>Planned</x:v>
      </x:c>
      <x:c r="L40" s="28" t="str">
        <x:v>None linked</x:v>
      </x:c>
      <x:c r="M40" s="28" t="str">
        <x:v>Planned</x:v>
      </x:c>
      <x:c r="N40" s="28" t="str">
        <x:v>No</x:v>
      </x:c>
      <x:c r="O40" s="28" t="str">
        <x:v>No current risk-reduction credit</x:v>
      </x:c>
      <x:c r="P40" s="28" t="str">
        <x:v>Design only or not implemented — evidence absent</x:v>
      </x:c>
      <x:c r="Q40" s="28" t="str">
        <x:v>Implement the control, assign stable evidence IDs, operate it over a defined period and test it.</x:v>
      </x:c>
      <x:c r="R40" s="28" t="str">
        <x:v>Approved within bounded synthetic portfolio exercise</x:v>
      </x:c>
      <x:c r="S40" s="28" t="str">
        <x:v>Reginald Duckman - Chief Risk &amp; Compliance Officer</x:v>
      </x:c>
      <x:c r="T40" s="28" t="str">
        <x:v>2026-09-09</x:v>
      </x:c>
      <x:c r="U40" s="28" t="str">
        <x:v>2026-12-31</x:v>
      </x:c>
      <x:c r="V40" s="28" t="str">
        <x:v>Material system, risk, control, evidence, supplier, legal, lifecycle or AIMS-scope change; failed validation; overdue review</x:v>
      </x:c>
    </x:row>
    <x:row r="41">
      <x:c r="A41" s="28" t="str">
        <x:v>APP-037</x:v>
      </x:c>
      <x:c r="B41" s="28" t="str">
        <x:v>SH-04</x:v>
      </x:c>
      <x:c r="C41" s="28" t="str">
        <x:v>AI Browser Extension &amp; Embedded-App Control</x:v>
      </x:c>
      <x:c r="D41" s="28" t="str">
        <x:v>Preventive</x:v>
      </x:c>
      <x:c r="E41" s="28" t="str">
        <x:v>Oliver Duckett - Head of IT &amp; Cloud</x:v>
      </x:c>
      <x:c r="F41" s="28" t="str">
        <x:v>Applicable</x:v>
      </x:c>
      <x:c r="G41" s="28" t="str">
        <x:v>AI-007 — Unregistered GenAI Usage</x:v>
      </x:c>
      <x:c r="H41" s="28" t="str">
        <x:v>Included because AI Browser Extension &amp; Embedded-App Control directly treats AI-007-R01; AI-007-R03 within AI-007 — Unregistered GenAI Usage.</x:v>
      </x:c>
      <x:c r="I41" s="28" t="str">
        <x:v>Outside AI-007 — Unregistered GenAI Usage, the control is not automatically applicable unless another AI entry adopts the same risk/control pattern; portfolio-wide controls remain applicable.</x:v>
      </x:c>
      <x:c r="J41" s="28" t="str">
        <x:v>AI-007-R01; AI-007-R03</x:v>
      </x:c>
      <x:c r="K41" s="28" t="str">
        <x:v>Weak / ad hoc</x:v>
      </x:c>
      <x:c r="L41" s="28" t="str">
        <x:v>None linked</x:v>
      </x:c>
      <x:c r="M41" s="28" t="str">
        <x:v>Design/status assertion — evidence ID absent</x:v>
      </x:c>
      <x:c r="N41" s="28" t="str">
        <x:v>No</x:v>
      </x:c>
      <x:c r="O41" s="28" t="str">
        <x:v>No additional credit</x:v>
      </x:c>
      <x:c r="P41" s="28" t="str">
        <x:v>Design/status assertion — evidence absent</x:v>
      </x:c>
      <x:c r="Q41" s="28" t="str">
        <x:v>Provide implementation and operating evidence with a stable evidence ID.</x:v>
      </x:c>
      <x:c r="R41" s="28" t="str">
        <x:v>Approved within bounded synthetic portfolio exercise</x:v>
      </x:c>
      <x:c r="S41" s="28" t="str">
        <x:v>Reginald Duckman - Chief Risk &amp; Compliance Officer</x:v>
      </x:c>
      <x:c r="T41" s="28" t="str">
        <x:v>2026-09-09</x:v>
      </x:c>
      <x:c r="U41" s="28" t="str">
        <x:v>2026-12-31</x:v>
      </x:c>
      <x:c r="V41" s="28" t="str">
        <x:v>Material system, risk, control, evidence, supplier, legal, lifecycle or AIMS-scope change; failed validation; overdue review</x:v>
      </x:c>
    </x:row>
    <x:row r="42">
      <x:c r="A42" s="28" t="str">
        <x:v>APP-038</x:v>
      </x:c>
      <x:c r="B42" s="28" t="str">
        <x:v>SH-05</x:v>
      </x:c>
      <x:c r="C42" s="28" t="str">
        <x:v>Employee Attestation, Manager Accountability &amp; Mandatory Registration</x:v>
      </x:c>
      <x:c r="D42" s="28" t="str">
        <x:v>Detective</x:v>
      </x:c>
      <x:c r="E42" s="28" t="str">
        <x:v>Eleanor Duckford - AI Governance Lead</x:v>
      </x:c>
      <x:c r="F42" s="28" t="str">
        <x:v>Applicable</x:v>
      </x:c>
      <x:c r="G42" s="28" t="str">
        <x:v>AI-007 — Unregistered GenAI Usage</x:v>
      </x:c>
      <x:c r="H42" s="28" t="str">
        <x:v>Included because Employee Attestation, Manager Accountability &amp; Mandatory Registration directly treats AI-007-R02 within AI-007 — Unregistered GenAI Usage.</x:v>
      </x:c>
      <x:c r="I42" s="28" t="str">
        <x:v>Outside AI-007 — Unregistered GenAI Usage, the control is not automatically applicable unless another AI entry adopts the same risk/control pattern; portfolio-wide controls remain applicable.</x:v>
      </x:c>
      <x:c r="J42" s="28" t="str">
        <x:v>AI-007-R02</x:v>
      </x:c>
      <x:c r="K42" s="28" t="str">
        <x:v>Planned</x:v>
      </x:c>
      <x:c r="L42" s="28" t="str">
        <x:v>None linked</x:v>
      </x:c>
      <x:c r="M42" s="28" t="str">
        <x:v>Planned</x:v>
      </x:c>
      <x:c r="N42" s="28" t="str">
        <x:v>No</x:v>
      </x:c>
      <x:c r="O42" s="28" t="str">
        <x:v>No current risk-reduction credit</x:v>
      </x:c>
      <x:c r="P42" s="28" t="str">
        <x:v>Design only or not implemented — evidence absent</x:v>
      </x:c>
      <x:c r="Q42" s="28" t="str">
        <x:v>Implement the control, assign stable evidence IDs, operate it over a defined period and test it.</x:v>
      </x:c>
      <x:c r="R42" s="28" t="str">
        <x:v>Approved within bounded synthetic portfolio exercise</x:v>
      </x:c>
      <x:c r="S42" s="28" t="str">
        <x:v>Reginald Duckman - Chief Risk &amp; Compliance Officer</x:v>
      </x:c>
      <x:c r="T42" s="28" t="str">
        <x:v>2026-09-09</x:v>
      </x:c>
      <x:c r="U42" s="28" t="str">
        <x:v>2026-12-31</x:v>
      </x:c>
      <x:c r="V42" s="28" t="str">
        <x:v>Material system, risk, control, evidence, supplier, legal, lifecycle or AIMS-scope change; failed validation; overdue review</x:v>
      </x:c>
    </x:row>
    <x:row r="43">
      <x:c r="A43" s="28" t="str">
        <x:v>APP-039</x:v>
      </x:c>
      <x:c r="B43" s="28" t="str">
        <x:v>SH-06</x:v>
      </x:c>
      <x:c r="C43" s="28" t="str">
        <x:v>Exposure Investigation, Decomposition &amp; Remediation</x:v>
      </x:c>
      <x:c r="D43" s="28" t="str">
        <x:v>Corrective</x:v>
      </x:c>
      <x:c r="E43" s="28" t="str">
        <x:v>Eleanor Duckford - AI Governance Lead</x:v>
      </x:c>
      <x:c r="F43" s="28" t="str">
        <x:v>Applicable</x:v>
      </x:c>
      <x:c r="G43" s="28" t="str">
        <x:v>AI-007 — Unregistered GenAI Usage</x:v>
      </x:c>
      <x:c r="H43" s="28" t="str">
        <x:v>Included because Exposure Investigation, Decomposition &amp; Remediation directly treats AI-007-R01; AI-007-R02; AI-007-R03 within AI-007 — Unregistered GenAI Usage.</x:v>
      </x:c>
      <x:c r="I43" s="28" t="str">
        <x:v>Outside AI-007 — Unregistered GenAI Usage, the control is not automatically applicable unless another AI entry adopts the same risk/control pattern; portfolio-wide controls remain applicable.</x:v>
      </x:c>
      <x:c r="J43" s="28" t="str">
        <x:v>AI-007-R01; AI-007-R02; AI-007-R03</x:v>
      </x:c>
      <x:c r="K43" s="28" t="str">
        <x:v>Planned</x:v>
      </x:c>
      <x:c r="L43" s="28" t="str">
        <x:v>None linked</x:v>
      </x:c>
      <x:c r="M43" s="28" t="str">
        <x:v>Planned</x:v>
      </x:c>
      <x:c r="N43" s="28" t="str">
        <x:v>No</x:v>
      </x:c>
      <x:c r="O43" s="28" t="str">
        <x:v>No current risk-reduction credit</x:v>
      </x:c>
      <x:c r="P43" s="28" t="str">
        <x:v>Design only or not implemented — evidence absent</x:v>
      </x:c>
      <x:c r="Q43" s="28" t="str">
        <x:v>Implement the control, assign stable evidence IDs, operate it over a defined period and test it.</x:v>
      </x:c>
      <x:c r="R43" s="28" t="str">
        <x:v>Approved within bounded synthetic portfolio exercise</x:v>
      </x:c>
      <x:c r="S43" s="28" t="str">
        <x:v>Reginald Duckman - Chief Risk &amp; Compliance Officer</x:v>
      </x:c>
      <x:c r="T43" s="28" t="str">
        <x:v>2026-09-09</x:v>
      </x:c>
      <x:c r="U43" s="28" t="str">
        <x:v>2026-12-31</x:v>
      </x:c>
      <x:c r="V43" s="28" t="str">
        <x:v>Material system, risk, control, evidence, supplier, legal, lifecycle or AIMS-scope change; failed validation; overdue review</x:v>
      </x:c>
    </x:row>
    <x:row r="44">
      <x:c r="A44" s="28" t="str">
        <x:v>APP-040</x:v>
      </x:c>
      <x:c r="B44" s="28" t="str">
        <x:v>WI-01</x:v>
      </x:c>
      <x:c r="C44" s="28" t="str">
        <x:v>Qualified Human Final Inspection</x:v>
      </x:c>
      <x:c r="D44" s="28" t="str">
        <x:v>Preventive</x:v>
      </x:c>
      <x:c r="E44" s="28" t="str">
        <x:v>Henrietta Duckwell - Director Manufacturing</x:v>
      </x:c>
      <x:c r="F44" s="28" t="str">
        <x:v>Applicable</x:v>
      </x:c>
      <x:c r="G44" s="28" t="str">
        <x:v>AI-004 — WingInspect Vision</x:v>
      </x:c>
      <x:c r="H44" s="28" t="str">
        <x:v>Included because Qualified Human Final Inspection directly treats AI-004-R01; AI-004-R02 within AI-004 — WingInspect Vision.</x:v>
      </x:c>
      <x:c r="I44" s="28" t="str">
        <x:v>Outside AI-004 — WingInspect Vision, the control is not automatically applicable unless another AI entry adopts the same risk/control pattern; portfolio-wide controls remain applicable.</x:v>
      </x:c>
      <x:c r="J44" s="28" t="str">
        <x:v>AI-004-R01; AI-004-R02</x:v>
      </x:c>
      <x:c r="K44" s="28" t="str">
        <x:v>Partially implemented</x:v>
      </x:c>
      <x:c r="L44" s="28" t="str">
        <x:v>EV-AI004-001; EV-AI004-002; EV-AI004-003</x:v>
      </x:c>
      <x:c r="M44" s="28" t="str">
        <x:v>Synthetic implementation/operation demonstrated; production effectiveness unverified; applicability evidence reconciled in EV-AIMS-017 through EV-AIMS-020</x:v>
      </x:c>
      <x:c r="N44" s="28" t="str">
        <x:v>No</x:v>
      </x:c>
      <x:c r="O44" s="28" t="str">
        <x:v>No production risk-reduction credit</x:v>
      </x:c>
      <x:c r="P44" s="28" t="str">
        <x:v>Bounded synthetic evidence linked; production effectiveness unverified</x:v>
      </x:c>
      <x:c r="Q44" s="28" t="str">
        <x:v>Add version-bound production operating and outcome evidence, including population, period, exceptions, review and approval.</x:v>
      </x:c>
      <x:c r="R44" s="28" t="str">
        <x:v>Approved within bounded synthetic portfolio exercise</x:v>
      </x:c>
      <x:c r="S44" s="28" t="str">
        <x:v>Reginald Duckman - Chief Risk &amp; Compliance Officer</x:v>
      </x:c>
      <x:c r="T44" s="28" t="str">
        <x:v>2026-09-09</x:v>
      </x:c>
      <x:c r="U44" s="28" t="str">
        <x:v>2026-12-31</x:v>
      </x:c>
      <x:c r="V44" s="28" t="str">
        <x:v>Material system, risk, control, evidence, supplier, legal, lifecycle or AIMS-scope change; failed validation; overdue review</x:v>
      </x:c>
    </x:row>
    <x:row r="45">
      <x:c r="A45" s="28" t="str">
        <x:v>APP-041</x:v>
      </x:c>
      <x:c r="B45" s="28" t="str">
        <x:v>WI-02</x:v>
      </x:c>
      <x:c r="C45" s="28" t="str">
        <x:v>Minimum Sensitivity &amp; Safety Validation</x:v>
      </x:c>
      <x:c r="D45" s="28" t="str">
        <x:v>Preventive</x:v>
      </x:c>
      <x:c r="E45" s="28" t="str">
        <x:v>Quentin Duckwell - Director Product Safety &amp; Quality</x:v>
      </x:c>
      <x:c r="F45" s="28" t="str">
        <x:v>Applicable</x:v>
      </x:c>
      <x:c r="G45" s="28" t="str">
        <x:v>AI-004 — WingInspect Vision</x:v>
      </x:c>
      <x:c r="H45" s="28" t="str">
        <x:v>Included because Minimum Sensitivity &amp; Safety Validation directly treats AI-004-R01 within AI-004 — WingInspect Vision.</x:v>
      </x:c>
      <x:c r="I45" s="28" t="str">
        <x:v>Outside AI-004 — WingInspect Vision, the control is not automatically applicable unless another AI entry adopts the same risk/control pattern; portfolio-wide controls remain applicable.</x:v>
      </x:c>
      <x:c r="J45" s="28" t="str">
        <x:v>AI-004-R01</x:v>
      </x:c>
      <x:c r="K45" s="28" t="str">
        <x:v>Partially implemented</x:v>
      </x:c>
      <x:c r="L45" s="28" t="str">
        <x:v>None linked</x:v>
      </x:c>
      <x:c r="M45" s="28" t="str">
        <x:v>Design/status assertion — evidence ID absent</x:v>
      </x:c>
      <x:c r="N45" s="28" t="str">
        <x:v>No</x:v>
      </x:c>
      <x:c r="O45" s="28" t="str">
        <x:v>No additional credit</x:v>
      </x:c>
      <x:c r="P45" s="28" t="str">
        <x:v>Design/status assertion — evidence absent</x:v>
      </x:c>
      <x:c r="Q45" s="28" t="str">
        <x:v>Provide implementation and operating evidence with a stable evidence ID.</x:v>
      </x:c>
      <x:c r="R45" s="28" t="str">
        <x:v>Approved within bounded synthetic portfolio exercise</x:v>
      </x:c>
      <x:c r="S45" s="28" t="str">
        <x:v>Reginald Duckman - Chief Risk &amp; Compliance Officer</x:v>
      </x:c>
      <x:c r="T45" s="28" t="str">
        <x:v>2026-09-09</x:v>
      </x:c>
      <x:c r="U45" s="28" t="str">
        <x:v>2026-12-31</x:v>
      </x:c>
      <x:c r="V45" s="28" t="str">
        <x:v>Material system, risk, control, evidence, supplier, legal, lifecycle or AIMS-scope change; failed validation; overdue review</x:v>
      </x:c>
    </x:row>
    <x:row r="46">
      <x:c r="A46" s="28" t="str">
        <x:v>APP-042</x:v>
      </x:c>
      <x:c r="B46" s="28" t="str">
        <x:v>WI-03</x:v>
      </x:c>
      <x:c r="C46" s="28" t="str">
        <x:v>Independent QA Sampling &amp; Defect-Escape Monitoring</x:v>
      </x:c>
      <x:c r="D46" s="28" t="str">
        <x:v>Detective</x:v>
      </x:c>
      <x:c r="E46" s="28" t="str">
        <x:v>Quentin Duckwell - Director Product Safety &amp; Quality</x:v>
      </x:c>
      <x:c r="F46" s="28" t="str">
        <x:v>Applicable</x:v>
      </x:c>
      <x:c r="G46" s="28" t="str">
        <x:v>AI-004 — WingInspect Vision</x:v>
      </x:c>
      <x:c r="H46" s="28" t="str">
        <x:v>Included because Independent QA Sampling &amp; Defect-Escape Monitoring directly treats AI-004-R01; AI-004-R03 within AI-004 — WingInspect Vision.</x:v>
      </x:c>
      <x:c r="I46" s="28" t="str">
        <x:v>Outside AI-004 — WingInspect Vision, the control is not automatically applicable unless another AI entry adopts the same risk/control pattern; portfolio-wide controls remain applicable.</x:v>
      </x:c>
      <x:c r="J46" s="28" t="str">
        <x:v>AI-004-R01; AI-004-R03</x:v>
      </x:c>
      <x:c r="K46" s="28" t="str">
        <x:v>Planned</x:v>
      </x:c>
      <x:c r="L46" s="28" t="str">
        <x:v>None linked</x:v>
      </x:c>
      <x:c r="M46" s="28" t="str">
        <x:v>Planned</x:v>
      </x:c>
      <x:c r="N46" s="28" t="str">
        <x:v>No</x:v>
      </x:c>
      <x:c r="O46" s="28" t="str">
        <x:v>No current risk-reduction credit</x:v>
      </x:c>
      <x:c r="P46" s="28" t="str">
        <x:v>Design only or not implemented — evidence absent</x:v>
      </x:c>
      <x:c r="Q46" s="28" t="str">
        <x:v>Implement the control, assign stable evidence IDs, operate it over a defined period and test it.</x:v>
      </x:c>
      <x:c r="R46" s="28" t="str">
        <x:v>Approved within bounded synthetic portfolio exercise</x:v>
      </x:c>
      <x:c r="S46" s="28" t="str">
        <x:v>Reginald Duckman - Chief Risk &amp; Compliance Officer</x:v>
      </x:c>
      <x:c r="T46" s="28" t="str">
        <x:v>2026-09-09</x:v>
      </x:c>
      <x:c r="U46" s="28" t="str">
        <x:v>2026-12-31</x:v>
      </x:c>
      <x:c r="V46" s="28" t="str">
        <x:v>Material system, risk, control, evidence, supplier, legal, lifecycle or AIMS-scope change; failed validation; overdue review</x:v>
      </x:c>
    </x:row>
    <x:row r="47">
      <x:c r="A47" s="28" t="str">
        <x:v>APP-043</x:v>
      </x:c>
      <x:c r="B47" s="28" t="str">
        <x:v>WI-04</x:v>
      </x:c>
      <x:c r="C47" s="28" t="str">
        <x:v>Fail-Safe Manual Fallback &amp; Stop Rule</x:v>
      </x:c>
      <x:c r="D47" s="28" t="str">
        <x:v>Corrective</x:v>
      </x:c>
      <x:c r="E47" s="28" t="str">
        <x:v>Henrietta Duckwell - Director Manufacturing</x:v>
      </x:c>
      <x:c r="F47" s="28" t="str">
        <x:v>Applicable</x:v>
      </x:c>
      <x:c r="G47" s="28" t="str">
        <x:v>AI-004 — WingInspect Vision</x:v>
      </x:c>
      <x:c r="H47" s="28" t="str">
        <x:v>Included because Fail-Safe Manual Fallback &amp; Stop Rule directly treats AI-004-R01 within AI-004 — WingInspect Vision.</x:v>
      </x:c>
      <x:c r="I47" s="28" t="str">
        <x:v>Outside AI-004 — WingInspect Vision, the control is not automatically applicable unless another AI entry adopts the same risk/control pattern; portfolio-wide controls remain applicable.</x:v>
      </x:c>
      <x:c r="J47" s="28" t="str">
        <x:v>AI-004-R01</x:v>
      </x:c>
      <x:c r="K47" s="28" t="str">
        <x:v>Planned</x:v>
      </x:c>
      <x:c r="L47" s="28" t="str">
        <x:v>None linked</x:v>
      </x:c>
      <x:c r="M47" s="28" t="str">
        <x:v>Planned</x:v>
      </x:c>
      <x:c r="N47" s="28" t="str">
        <x:v>No</x:v>
      </x:c>
      <x:c r="O47" s="28" t="str">
        <x:v>No current risk-reduction credit</x:v>
      </x:c>
      <x:c r="P47" s="28" t="str">
        <x:v>Design only or not implemented — evidence absent</x:v>
      </x:c>
      <x:c r="Q47" s="28" t="str">
        <x:v>Implement the control, assign stable evidence IDs, operate it over a defined period and test it.</x:v>
      </x:c>
      <x:c r="R47" s="28" t="str">
        <x:v>Approved within bounded synthetic portfolio exercise</x:v>
      </x:c>
      <x:c r="S47" s="28" t="str">
        <x:v>Reginald Duckman - Chief Risk &amp; Compliance Officer</x:v>
      </x:c>
      <x:c r="T47" s="28" t="str">
        <x:v>2026-09-09</x:v>
      </x:c>
      <x:c r="U47" s="28" t="str">
        <x:v>2026-12-31</x:v>
      </x:c>
      <x:c r="V47" s="28" t="str">
        <x:v>Material system, risk, control, evidence, supplier, legal, lifecycle or AIMS-scope change; failed validation; overdue review</x:v>
      </x:c>
    </x:row>
    <x:row r="48">
      <x:c r="A48" s="28" t="str">
        <x:v>APP-044</x:v>
      </x:c>
      <x:c r="B48" s="28" t="str">
        <x:v>WI-05</x:v>
      </x:c>
      <x:c r="C48" s="28" t="str">
        <x:v>False-Positive Tuning &amp; QA Feedback Loop</x:v>
      </x:c>
      <x:c r="D48" s="28" t="str">
        <x:v>Corrective</x:v>
      </x:c>
      <x:c r="E48" s="28" t="str">
        <x:v>Dr. Ada Duckfield - Head of Data &amp; AI</x:v>
      </x:c>
      <x:c r="F48" s="28" t="str">
        <x:v>Applicable</x:v>
      </x:c>
      <x:c r="G48" s="28" t="str">
        <x:v>AI-004 — WingInspect Vision</x:v>
      </x:c>
      <x:c r="H48" s="28" t="str">
        <x:v>Included because False-Positive Tuning &amp; QA Feedback Loop directly treats AI-004-R02 within AI-004 — WingInspect Vision.</x:v>
      </x:c>
      <x:c r="I48" s="28" t="str">
        <x:v>Outside AI-004 — WingInspect Vision, the control is not automatically applicable unless another AI entry adopts the same risk/control pattern; portfolio-wide controls remain applicable.</x:v>
      </x:c>
      <x:c r="J48" s="28" t="str">
        <x:v>AI-004-R02</x:v>
      </x:c>
      <x:c r="K48" s="28" t="str">
        <x:v>Planned</x:v>
      </x:c>
      <x:c r="L48" s="28" t="str">
        <x:v>None linked</x:v>
      </x:c>
      <x:c r="M48" s="28" t="str">
        <x:v>Planned</x:v>
      </x:c>
      <x:c r="N48" s="28" t="str">
        <x:v>No</x:v>
      </x:c>
      <x:c r="O48" s="28" t="str">
        <x:v>No current risk-reduction credit</x:v>
      </x:c>
      <x:c r="P48" s="28" t="str">
        <x:v>Design only or not implemented — evidence absent</x:v>
      </x:c>
      <x:c r="Q48" s="28" t="str">
        <x:v>Implement the control, assign stable evidence IDs, operate it over a defined period and test it.</x:v>
      </x:c>
      <x:c r="R48" s="28" t="str">
        <x:v>Approved within bounded synthetic portfolio exercise</x:v>
      </x:c>
      <x:c r="S48" s="28" t="str">
        <x:v>Reginald Duckman - Chief Risk &amp; Compliance Officer</x:v>
      </x:c>
      <x:c r="T48" s="28" t="str">
        <x:v>2026-09-09</x:v>
      </x:c>
      <x:c r="U48" s="28" t="str">
        <x:v>2026-12-31</x:v>
      </x:c>
      <x:c r="V48" s="28" t="str">
        <x:v>Material system, risk, control, evidence, supplier, legal, lifecycle or AIMS-scope change; failed validation; overdue review</x:v>
      </x:c>
    </x:row>
    <x:row r="49">
      <x:c r="A49" s="28" t="str">
        <x:v>APP-045</x:v>
      </x:c>
      <x:c r="B49" s="28" t="str">
        <x:v>WI-06</x:v>
      </x:c>
      <x:c r="C49" s="28" t="str">
        <x:v>Change-Triggered Revalidation &amp; Locked Baseline</x:v>
      </x:c>
      <x:c r="D49" s="28" t="str">
        <x:v>Preventive</x:v>
      </x:c>
      <x:c r="E49" s="28" t="str">
        <x:v>Dr. Ada Duckfield - Head of Data &amp; AI</x:v>
      </x:c>
      <x:c r="F49" s="28" t="str">
        <x:v>Applicable</x:v>
      </x:c>
      <x:c r="G49" s="28" t="str">
        <x:v>AI-004 — WingInspect Vision</x:v>
      </x:c>
      <x:c r="H49" s="28" t="str">
        <x:v>Included because Change-Triggered Revalidation &amp; Locked Baseline directly treats AI-004-R03 within AI-004 — WingInspect Vision.</x:v>
      </x:c>
      <x:c r="I49" s="28" t="str">
        <x:v>Outside AI-004 — WingInspect Vision, the control is not automatically applicable unless another AI entry adopts the same risk/control pattern; portfolio-wide controls remain applicable.</x:v>
      </x:c>
      <x:c r="J49" s="28" t="str">
        <x:v>AI-004-R03</x:v>
      </x:c>
      <x:c r="K49" s="28" t="str">
        <x:v>Partially implemented</x:v>
      </x:c>
      <x:c r="L49" s="28" t="str">
        <x:v>None linked</x:v>
      </x:c>
      <x:c r="M49" s="28" t="str">
        <x:v>Design/status assertion — evidence ID absent</x:v>
      </x:c>
      <x:c r="N49" s="28" t="str">
        <x:v>No</x:v>
      </x:c>
      <x:c r="O49" s="28" t="str">
        <x:v>No additional credit</x:v>
      </x:c>
      <x:c r="P49" s="28" t="str">
        <x:v>Design/status assertion — evidence absent</x:v>
      </x:c>
      <x:c r="Q49" s="28" t="str">
        <x:v>Provide implementation and operating evidence with a stable evidence ID.</x:v>
      </x:c>
      <x:c r="R49" s="28" t="str">
        <x:v>Approved within bounded synthetic portfolio exercise</x:v>
      </x:c>
      <x:c r="S49" s="28" t="str">
        <x:v>Reginald Duckman - Chief Risk &amp; Compliance Officer</x:v>
      </x:c>
      <x:c r="T49" s="28" t="str">
        <x:v>2026-09-09</x:v>
      </x:c>
      <x:c r="U49" s="28" t="str">
        <x:v>2026-12-31</x:v>
      </x:c>
      <x:c r="V49" s="28" t="str">
        <x:v>Material system, risk, control, evidence, supplier, legal, lifecycle or AIMS-scope change; failed validation; overdue review</x:v>
      </x:c>
    </x:row>
  </x:sheetData>
  <x:conditionalFormatting sqref="F5:F49">
    <x:cfRule type="containsText" dxfId="0" priority="1" operator="containsText" text="Conditionally"/>
  </x:conditionalFormatting>
  <x:conditionalFormatting sqref="P5:P49">
    <x:cfRule type="containsText" dxfId="1" priority="2" operator="containsText" text="Unsupported"/>
  </x:conditionalFormatting>
  <x:pageMargins left="0.7" right="0.7" top="0.75" bottom="0.75" header="0.3" footer="0.3"/>
  <x:tableParts count="1">
    <x:tablePart xmlns:r="http://schemas.openxmlformats.org/officeDocument/2006/relationships" r:id="R1a0310e0c876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52" hidden="0" customWidth="1"/>
    <x:col min="4" max="4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6" customHeight="1">
      <x:c r="A2" s="2" t="str">
        <x:v>Applicability Decision Rules</x:v>
      </x:c>
    </x:row>
    <x:row r="3" ht="24" customHeight="1">
      <x:c r="A3" s="4" t="str">
        <x:v>Local portfolio decisions; normative requirement and Annex A verification remains pending</x:v>
      </x:c>
    </x:row>
    <x:row r="5">
      <x:c r="A5" s="10" t="str">
        <x:v>Decision state</x:v>
      </x:c>
      <x:c r="B5" s="10" t="str">
        <x:v>Meaning</x:v>
      </x:c>
      <x:c r="C5" s="10" t="str">
        <x:v>Required evidence or rationale</x:v>
      </x:c>
      <x:c r="D5" s="10" t="str">
        <x:v>Automation boundary</x:v>
      </x:c>
    </x:row>
    <x:row r="6">
      <x:c r="A6" s="14" t="str">
        <x:v>Applicable</x:v>
      </x:c>
      <x:c r="B6" s="14" t="str">
        <x:v>Treats an identified risk or AIMS-wide need</x:v>
      </x:c>
      <x:c r="C6" s="14" t="str">
        <x:v>Named scope, risk/need, owner, evidence expectation</x:v>
      </x:c>
      <x:c r="D6" s="14" t="str">
        <x:v>Validate only; human approval</x:v>
      </x:c>
    </x:row>
    <x:row r="7">
      <x:c r="A7" s="14" t="str">
        <x:v>Conditionally applicable</x:v>
      </x:c>
      <x:c r="B7" s="14" t="str">
        <x:v>Triggered by architecture, supplier, data, lifecycle or use condition</x:v>
      </x:c>
      <x:c r="C7" s="14" t="str">
        <x:v>Testable condition and decision owner</x:v>
      </x:c>
      <x:c r="D7" s="14" t="str">
        <x:v>Cannot activate or deactivate</x:v>
      </x:c>
    </x:row>
    <x:row r="8">
      <x:c r="A8" s="14" t="str">
        <x:v>Not applicable</x:v>
      </x:c>
      <x:c r="B8" s="14" t="str">
        <x:v>No trigger within approved scope</x:v>
      </x:c>
      <x:c r="C8" s="14" t="str">
        <x:v>Specific exclusion, alternative treatment and CRCO approval</x:v>
      </x:c>
      <x:c r="D8" s="14" t="str">
        <x:v>Cannot approve exclusion</x:v>
      </x:c>
    </x:row>
    <x:row r="9">
      <x:c r="A9" s="14" t="str">
        <x:v>Pending decision</x:v>
      </x:c>
      <x:c r="B9" s="14" t="str">
        <x:v>Information is insufficient</x:v>
      </x:c>
      <x:c r="C9" s="14" t="str">
        <x:v>Named gap, owner, due date and interim restriction</x:v>
      </x:c>
      <x:c r="D9" s="14" t="str">
        <x:v>Cannot resolve missing judgment</x:v>
      </x:c>
    </x:row>
    <x:row r="12">
      <x:c r="A12" s="10" t="str">
        <x:v>Gate measure</x:v>
      </x:c>
      <x:c r="B12" s="10" t="str">
        <x:v>Validated result</x:v>
      </x:c>
    </x:row>
    <x:row r="13">
      <x:c r="A13" s="11" t="str">
        <x:v>Controls evaluated</x:v>
      </x:c>
      <x:c r="B13" s="11" t="n">
        <x:v>45</x:v>
      </x:c>
    </x:row>
    <x:row r="14">
      <x:c r="A14" s="11" t="str">
        <x:v>Expected results met</x:v>
      </x:c>
      <x:c r="B14" s="11" t="str">
        <x:v>7/7</x:v>
      </x:c>
    </x:row>
    <x:row r="15">
      <x:c r="A15" s="11" t="str">
        <x:v>Failed assertions</x:v>
      </x:c>
      <x:c r="B15" s="11" t="n">
        <x:v>0</x:v>
      </x:c>
    </x:row>
    <x:row r="16">
      <x:c r="A16" s="11" t="str">
        <x:v>Evidence-linked controls</x:v>
      </x:c>
      <x:c r="B16" s="11" t="n">
        <x:v>9</x:v>
      </x:c>
    </x:row>
    <x:row r="17">
      <x:c r="A17" s="11" t="str">
        <x:v>Controls without evidence</x:v>
      </x:c>
      <x:c r="B17" s="11" t="n">
        <x:v>36</x:v>
      </x:c>
    </x:row>
    <x:row r="18">
      <x:c r="A18" s="11" t="str">
        <x:v>Decisions auto-approved</x:v>
      </x:c>
      <x:c r="B18" s="11" t="n">
        <x:v>0</x:v>
      </x:c>
    </x:row>
    <x:row r="19">
      <x:c r="A19" s="11" t="str">
        <x:v>Human approval required</x:v>
      </x:c>
      <x:c r="B19" s="11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5" hidden="0" customWidth="1"/>
    <x:col min="4" max="4" width="24" hidden="0" customWidth="1"/>
    <x:col min="5" max="5" width="24" hidden="0" customWidth="1"/>
    <x:col min="6" max="6" width="24" hidden="0" customWidth="1"/>
    <x:col min="7" max="7" width="48" hidden="0" customWidth="1"/>
    <x:col min="8" max="8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6" customHeight="1">
      <x:c r="A2" s="2" t="str">
        <x:v>Applicability Review Actions</x:v>
      </x:c>
    </x:row>
    <x:row r="3" ht="24" customHeight="1">
      <x:c r="A3" s="4" t="str">
        <x:v>Actions preserve evidence boundaries and prepare the independent AIMS audit milestone</x:v>
      </x:c>
    </x:row>
    <x:row r="5">
      <x:c r="A5" s="10" t="str">
        <x:v>Action ID</x:v>
      </x:c>
      <x:c r="B5" s="10" t="str">
        <x:v>Priority</x:v>
      </x:c>
      <x:c r="C5" s="10" t="str">
        <x:v>Action</x:v>
      </x:c>
      <x:c r="D5" s="10" t="str">
        <x:v>Owner</x:v>
      </x:c>
      <x:c r="E5" s="10" t="str">
        <x:v>Due date</x:v>
      </x:c>
      <x:c r="F5" s="10" t="str">
        <x:v>Status</x:v>
      </x:c>
      <x:c r="G5" s="10" t="str">
        <x:v>Completion evidence</x:v>
      </x:c>
      <x:c r="H5" s="10" t="str">
        <x:v>Escalation</x:v>
      </x:c>
    </x:row>
    <x:row r="6">
      <x:c r="A6" s="14" t="str">
        <x:v>APP-ACT-001</x:v>
      </x:c>
      <x:c r="B6" s="14" t="str">
        <x:v>High</x:v>
      </x:c>
      <x:c r="C6" s="14" t="str">
        <x:v>Retrieve and review DD-01 implementation evidence or downgrade the source status</x:v>
      </x:c>
      <x:c r="D6" s="14" t="str">
        <x:v>VP Product &amp; Engineering</x:v>
      </x:c>
      <x:c r="E6" s="14" t="str">
        <x:v>2026-10-31</x:v>
      </x:c>
      <x:c r="F6" s="14" t="str">
        <x:v>Open</x:v>
      </x:c>
      <x:c r="G6" s="14" t="str">
        <x:v>Version-bound execution records, exceptions, outcome metrics and owner review</x:v>
      </x:c>
      <x:c r="H6" s="14" t="str">
        <x:v>Escalate any risk-credit claim without evidence</x:v>
      </x:c>
    </x:row>
    <x:row r="7">
      <x:c r="A7" s="14" t="str">
        <x:v>APP-ACT-002</x:v>
      </x:c>
      <x:c r="B7" s="14" t="str">
        <x:v>High</x:v>
      </x:c>
      <x:c r="C7" s="14" t="str">
        <x:v>Retrieve and review FF-01 implementation evidence or downgrade the source status</x:v>
      </x:c>
      <x:c r="D7" s="14" t="str">
        <x:v>Director Supply Chain</x:v>
      </x:c>
      <x:c r="E7" s="14" t="str">
        <x:v>2026-10-31</x:v>
      </x:c>
      <x:c r="F7" s="14" t="str">
        <x:v>Open</x:v>
      </x:c>
      <x:c r="G7" s="14" t="str">
        <x:v>Defined monitoring population/period, overrides, exceptions and review evidence</x:v>
      </x:c>
      <x:c r="H7" s="14" t="str">
        <x:v>Escalate any gate or score change without evidence</x:v>
      </x:c>
    </x:row>
    <x:row r="8">
      <x:c r="A8" s="14" t="str">
        <x:v>APP-ACT-003</x:v>
      </x:c>
      <x:c r="B8" s="14" t="str">
        <x:v>High</x:v>
      </x:c>
      <x:c r="C8" s="14" t="str">
        <x:v>Verify requirement-level and Annex A mappings using an authorized standard and second-person review</x:v>
      </x:c>
      <x:c r="D8" s="14" t="str">
        <x:v>AI Governance Lead</x:v>
      </x:c>
      <x:c r="E8" s="14" t="str">
        <x:v>2026-10-30</x:v>
      </x:c>
      <x:c r="F8" s="14" t="str">
        <x:v>Blocked</x:v>
      </x:c>
      <x:c r="G8" s="14" t="str">
        <x:v>Approved mapping register and competent review record</x:v>
      </x:c>
      <x:c r="H8" s="14" t="str">
        <x:v>Do not claim normative completeness while blocked</x:v>
      </x:c>
    </x:row>
    <x:row r="9">
      <x:c r="A9" s="14" t="str">
        <x:v>APP-ACT-004</x:v>
      </x:c>
      <x:c r="B9" s="14" t="str">
        <x:v>High</x:v>
      </x:c>
      <x:c r="C9" s="14" t="str">
        <x:v>Create the risk-based independent AIMS internal-audit program using the applicability register as planning input</x:v>
      </x:c>
      <x:c r="D9" s="14" t="str">
        <x:v>Head of Internal Audit</x:v>
      </x:c>
      <x:c r="E9" s="14" t="str">
        <x:v>2026-11-30</x:v>
      </x:c>
      <x:c r="F9" s="14" t="str">
        <x:v>Open</x:v>
      </x:c>
      <x:c r="G9" s="14" t="str">
        <x:v>Approved audit universe, criteria, schedule, competence and independence safeguards</x:v>
      </x:c>
      <x:c r="H9" s="14" t="str">
        <x:v>Escalate missed approval or self-review conflict</x:v>
      </x:c>
    </x:row>
    <x:row r="10">
      <x:c r="A10" s="14" t="str">
        <x:v>APP-ACT-005</x:v>
      </x:c>
      <x:c r="B10" s="14" t="str">
        <x:v>Moderate</x:v>
      </x:c>
      <x:c r="C10" s="14" t="str">
        <x:v>Reassess applicability after material scope, supplier, risk, control or evidence change</x:v>
      </x:c>
      <x:c r="D10" s="14" t="str">
        <x:v>AI Governance Lead</x:v>
      </x:c>
      <x:c r="E10" s="14" t="str">
        <x:v>2026-12-31</x:v>
      </x:c>
      <x:c r="F10" s="14" t="str">
        <x:v>Open</x:v>
      </x:c>
      <x:c r="G10" s="14" t="str">
        <x:v>Dated review record and updated gate summary</x:v>
      </x:c>
      <x:c r="H10" s="14" t="str">
        <x:v>Escalate overdue quarterly review</x:v>
      </x:c>
    </x:row>
  </x:sheetData>
  <x:conditionalFormatting sqref="F6:F10">
    <x:cfRule type="containsText" dxfId="2" priority="1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6573"/>
  </x:sheetPr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6" customHeight="1">
      <x:c r="A2" s="2" t="str">
        <x:v>Read Me — AIMS Control Applicability Register</x:v>
      </x:c>
    </x:row>
    <x:row r="5">
      <x:c r="A5" s="10" t="str">
        <x:v>Purpose</x:v>
      </x:c>
      <x:c r="B5" s="14" t="str">
        <x:v>Record and validate applicability decisions for all 45 canonical Duckworks AI controls.</x:v>
      </x:c>
    </x:row>
    <x:row r="6">
      <x:c r="A6" s="10" t="str">
        <x:v>Release</x:v>
      </x:c>
      <x:c r="B6" s="14" t="str">
        <x:v>v1.6</x:v>
      </x:c>
    </x:row>
    <x:row r="7">
      <x:c r="A7" s="10" t="str">
        <x:v>Evidence IDs</x:v>
      </x:c>
      <x:c r="B7" s="14" t="str">
        <x:v>EV-AIMS-017 through EV-AIMS-020</x:v>
      </x:c>
    </x:row>
    <x:row r="8">
      <x:c r="A8" s="10" t="str">
        <x:v>Decision result</x:v>
      </x:c>
      <x:c r="B8" s="14" t="str">
        <x:v>44 Applicable; one Conditionally applicable; zero Not applicable or Pending.</x:v>
      </x:c>
    </x:row>
    <x:row r="9">
      <x:c r="A9" s="10" t="str">
        <x:v>Authoritative input</x:v>
      </x:c>
      <x:c r="B9" s="14" t="str">
        <x:v>CSV register in the same repository folder.</x:v>
      </x:c>
    </x:row>
    <x:row r="10">
      <x:c r="A10" s="10" t="str">
        <x:v>Formula outputs</x:v>
      </x:c>
      <x:c r="B10" s="14" t="str">
        <x:v>Summary counts link to the Applicability Register sheet.</x:v>
      </x:c>
    </x:row>
    <x:row r="11">
      <x:c r="A11" s="10" t="str">
        <x:v>Human authority</x:v>
      </x:c>
      <x:c r="B11" s="14" t="str">
        <x:v>Automation validates completeness but approves zero decisions.</x:v>
      </x:c>
    </x:row>
    <x:row r="12">
      <x:c r="A12" s="10" t="str">
        <x:v>Evidence boundary</x:v>
      </x:c>
      <x:c r="B12" s="14" t="str">
        <x:v>Linked synthetic evidence does not demonstrate production effectiveness or risk reduction.</x:v>
      </x:c>
    </x:row>
    <x:row r="13">
      <x:c r="A13" s="10" t="str">
        <x:v>ISO boundary</x:v>
      </x:c>
      <x:c r="B13" s="14" t="str">
        <x:v>M01–M18 are local themes; normative requirement and Annex A mapping requires authorized-source verification.</x:v>
      </x:c>
    </x:row>
    <x:row r="14">
      <x:c r="A14" s="10" t="str">
        <x:v>Maintenance</x:v>
      </x:c>
      <x:c r="B14" s="14" t="str">
        <x:v>Review quarterly and after material changes.</x:v>
      </x:c>
    </x:row>
    <x:row r="15">
      <x:c r="A15" s="10" t="str">
        <x:v>Next use</x:v>
      </x:c>
      <x:c r="B15" s="14" t="str">
        <x:v>Planning input for a risk-based independent AIMS internal-audit program.</x:v>
      </x:c>
    </x:row>
  </x:sheetData>
  <x:pageMargins left="0.7" right="0.7" top="0.75" bottom="0.75" header="0.3" footer="0.3"/>
</x:worksheet>
</file>