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2f7cfaada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e6f0f97062c4493"/>
    <x:sheet xmlns:r="http://schemas.openxmlformats.org/officeDocument/2006/relationships" name="System Reconciliation" sheetId="2" r:id="R9ab1c351fb154cbc"/>
    <x:sheet xmlns:r="http://schemas.openxmlformats.org/officeDocument/2006/relationships" name="Risk Reconciliation" sheetId="3" r:id="Ra6e4e6fd1c28435b"/>
    <x:sheet xmlns:r="http://schemas.openxmlformats.org/officeDocument/2006/relationships" name="Control Evidence" sheetId="4" r:id="Rb512f5f66ce14f0c"/>
    <x:sheet xmlns:r="http://schemas.openxmlformats.org/officeDocument/2006/relationships" name="Evidence Index" sheetId="5" r:id="R8c385e20dd0540e3"/>
    <x:sheet xmlns:r="http://schemas.openxmlformats.org/officeDocument/2006/relationships" name="Decision Rules" sheetId="6" r:id="R13a977391f8142ea"/>
    <x:sheet xmlns:r="http://schemas.openxmlformats.org/officeDocument/2006/relationships" name="Actions" sheetId="7" r:id="R6e4b7b86145f4d50"/>
    <x:sheet xmlns:r="http://schemas.openxmlformats.org/officeDocument/2006/relationships" name="Sources" sheetId="8" r:id="R164bb88dad7b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03040"/>
      <x:name val="Carlito"/>
    </x:font>
    <x:font>
      <x:b/>
      <x:sz val="11"/>
      <x:color rgb="FF1F5A7A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9"/>
      <x:color rgb="FF20304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5"/>
      </x:patternFill>
    </x:fill>
    <x:fill>
      <x:patternFill patternType="solid">
        <x:fgColor rgb="FF1F5A7A"/>
      </x:patternFill>
    </x:fill>
    <x:fill>
      <x:patternFill patternType="solid">
        <x:fgColor rgb="FFF6E7C1"/>
      </x:patternFill>
    </x:fill>
  </x:fills>
  <x:borders count="8">
    <x:border/>
    <x:border>
      <x:left style="medium">
        <x:color rgb="FF2F7E79"/>
      </x:left>
      <x:top style="medium">
        <x:color rgb="FF2F7E79"/>
      </x:top>
    </x:border>
    <x:border>
      <x:right style="medium">
        <x:color rgb="FF2F7E79"/>
      </x:right>
      <x:top style="medium">
        <x:color rgb="FF2F7E79"/>
      </x:top>
    </x:border>
    <x:border>
      <x:left style="medium">
        <x:color rgb="FF2F7E79"/>
      </x:left>
      <x:bottom style="medium">
        <x:color rgb="FF2F7E79"/>
      </x:bottom>
    </x:border>
    <x:border>
      <x:right style="medium">
        <x:color rgb="FF2F7E79"/>
      </x:right>
      <x:bottom style="medium">
        <x:color rgb="FF2F7E79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200" fontId="7" fillId="0" borderId="5" xfId="0" applyNumberFormat="1" applyFont="1" applyFill="1" applyBorder="1" applyAlignment="1">
      <x:alignment vertical="top" wrapText="1"/>
    </x:xf>
    <x:xf numFmtId="200" fontId="7" fillId="0" borderId="6" xfId="0" applyNumberFormat="1" applyFont="1" applyFill="1" applyBorder="1" applyAlignment="1">
      <x:alignment vertical="top" wrapText="1"/>
    </x:xf>
    <x:xf numFmtId="200" fontId="7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01557efcd4e2c" /><Relationship Type="http://schemas.openxmlformats.org/officeDocument/2006/relationships/theme" Target="/xl/theme/theme1.xml" Id="R69dfc11eb8984416" /><Relationship Type="http://schemas.openxmlformats.org/officeDocument/2006/relationships/sharedStrings" Target="/xl/sharedStrings.xml" Id="R88207586ef824095" /><Relationship Type="http://schemas.openxmlformats.org/officeDocument/2006/relationships/worksheet" Target="/xl/worksheets/sheet1.xml" Id="R3e6f0f97062c4493" /><Relationship Type="http://schemas.openxmlformats.org/officeDocument/2006/relationships/worksheet" Target="/xl/worksheets/sheet2.xml" Id="R9ab1c351fb154cbc" /><Relationship Type="http://schemas.openxmlformats.org/officeDocument/2006/relationships/worksheet" Target="/xl/worksheets/sheet3.xml" Id="Ra6e4e6fd1c28435b" /><Relationship Type="http://schemas.openxmlformats.org/officeDocument/2006/relationships/worksheet" Target="/xl/worksheets/sheet4.xml" Id="Rb512f5f66ce14f0c" /><Relationship Type="http://schemas.openxmlformats.org/officeDocument/2006/relationships/worksheet" Target="/xl/worksheets/sheet5.xml" Id="R8c385e20dd0540e3" /><Relationship Type="http://schemas.openxmlformats.org/officeDocument/2006/relationships/worksheet" Target="/xl/worksheets/sheet6.xml" Id="R13a977391f8142ea" /><Relationship Type="http://schemas.openxmlformats.org/officeDocument/2006/relationships/worksheet" Target="/xl/worksheets/sheet7.xml" Id="R6e4b7b86145f4d50" /><Relationship Type="http://schemas.openxmlformats.org/officeDocument/2006/relationships/worksheet" Target="/xl/worksheets/sheet8.xml" Id="R164bb88dad7b4f05" /></Relationships>
</file>

<file path=xl/tables/table1.xml><?xml version="1.0" encoding="utf-8"?>
<x:table xmlns:x="http://schemas.openxmlformats.org/spreadsheetml/2006/main" id="1" name="SystemReconciliationTable" displayName="SystemReconciliationTable" ref="A4:I11" headerRowCount="1" totalsRowCount="0" totalsRowShown="0">
  <x:tableColumns count="9">
    <x:tableColumn id="1" name="AI ID"/>
    <x:tableColumn id="2" name="System"/>
    <x:tableColumn id="3" name="Original Effectiveness"/>
    <x:tableColumn id="4" name="Original Confidence"/>
    <x:tableColumn id="5" name="Recorded Current Residual"/>
    <x:tableColumn id="6" name="Reconciled Evidence-Maturity Statement"/>
    <x:tableColumn id="7" name="Reconciled Confidence"/>
    <x:tableColumn id="8" name="Current Gate"/>
    <x:tableColumn id="9" name="Management Treat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ReconciliationTable" displayName="RiskReconciliationTable" ref="A4:P25" headerRowCount="1" totalsRowCount="0" totalsRowShown="0">
  <x:tableColumns count="16">
    <x:tableColumn id="1" name="Risk ID"/>
    <x:tableColumn id="2" name="AI ID"/>
    <x:tableColumn id="3" name="System"/>
    <x:tableColumn id="4" name="Domain"/>
    <x:tableColumn id="5" name="Inherent Score"/>
    <x:tableColumn id="6" name="Current Score"/>
    <x:tableColumn id="7" name="Reduction"/>
    <x:tableColumn id="8" name="Inherent Rating"/>
    <x:tableColumn id="9" name="Recorded Current Rating"/>
    <x:tableColumn id="10" name="Available Evidence IDs"/>
    <x:tableColumn id="11" name="Score Support Status"/>
    <x:tableColumn id="12" name="Evidence Basis"/>
    <x:tableColumn id="13" name="Required Action"/>
    <x:tableColumn id="14" name="Current Gate"/>
    <x:tableColumn id="15" name="Reviewer Status"/>
    <x:tableColumn id="16" name="Repository Snapsho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EvidenceTable" displayName="ControlEvidenceTable" ref="A4:L49" headerRowCount="1" totalsRowCount="0" totalsRowShown="0">
  <x:tableColumns count="12">
    <x:tableColumn id="1" name="Control ID"/>
    <x:tableColumn id="2" name="Control"/>
    <x:tableColumn id="3" name="Type"/>
    <x:tableColumn id="4" name="Owner"/>
    <x:tableColumn id="5" name="Source Status"/>
    <x:tableColumn id="6" name="Linked Risks"/>
    <x:tableColumn id="7" name="Available Evidence IDs"/>
    <x:tableColumn id="8" name="Missing Evidence IDs"/>
    <x:tableColumn id="9" name="Strongest Evidence State"/>
    <x:tableColumn id="10" name="Reconciled Status"/>
    <x:tableColumn id="11" name="Current Risk Credit"/>
    <x:tableColumn id="12" name="Next Evidence Requi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IndexTable" displayName="EvidenceIndexTable" ref="A4:H31" headerRowCount="1" totalsRowCount="0" totalsRowShown="0">
  <x:tableColumns count="8">
    <x:tableColumn id="1" name="Evidence ID"/>
    <x:tableColumn id="2" name="AI System"/>
    <x:tableColumn id="3" name="Risk ID"/>
    <x:tableColumn id="4" name="Control ID(s)"/>
    <x:tableColumn id="5" name="Artifact"/>
    <x:tableColumn id="6" name="Evidence State"/>
    <x:tableColumn id="7" name="What It Demonstrates"/>
    <x:tableColumn id="8" name="Production Effectiveness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RuleTable" displayName="DecisionRuleTable" ref="A4:D10" headerRowCount="1" totalsRowCount="0" totalsRowShown="0">
  <x:tableColumns count="4">
    <x:tableColumn id="1" name="Rule ID"/>
    <x:tableColumn id="2" name="Condition"/>
    <x:tableColumn id="3" name="Required Treatment"/>
    <x:tableColumn id="4" name="Prohibited 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tionTable" displayName="ActionTable" ref="A4:G13" headerRowCount="1" totalsRowCount="0" totalsRowShown="0">
  <x:tableColumns count="7">
    <x:tableColumn id="1" name="Action ID"/>
    <x:tableColumn id="2" name="Priority"/>
    <x:tableColumn id="3" name="Scope"/>
    <x:tableColumn id="4" name="Action"/>
    <x:tableColumn id="5" name="Owner"/>
    <x:tableColumn id="6" name="Status"/>
    <x:tableColumn id="7" name="Decision Consequ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Table" displayName="SourceTable" ref="A4:D10" headerRowCount="1" totalsRowCount="0" totalsRowShown="0">
  <x:tableColumns count="4">
    <x:tableColumn id="1" name="Source ID"/>
    <x:tableColumn id="2" name="Source"/>
    <x:tableColumn id="3" name="Purpose"/>
    <x:tableColumn id="4" name="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7d0ffac0c146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21c5efcb3d40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0f6e3d235f4c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7e1376a1b349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98e26d90ad4d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342c0fb4ff44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12df20064841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31" hidden="0" customWidth="1"/>
    <x:col min="4" max="4" width="39" hidden="0" customWidth="1"/>
    <x:col min="5" max="5" width="19" hidden="0" customWidth="1"/>
    <x:col min="6" max="6" width="15" hidden="0" customWidth="1"/>
    <x:col min="7" max="7" width="23" hidden="0" customWidth="1"/>
    <x:col min="8" max="8" width="14" hidden="0" customWidth="1"/>
  </x:cols>
  <x:sheetData>
    <x:row r="1" ht="30" customHeight="1">
      <x:c r="A1" s="2" t="str">
        <x:v>Duckworks Risk &amp; Evidence Reconciliation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Version 1.1 | evidence-aware decision basis | recorded scores retained for traceability</x:v>
      </x:c>
      <x:c r="B2" s="5"/>
      <x:c r="C2" s="5"/>
      <x:c r="D2" s="5"/>
      <x:c r="E2" s="5"/>
      <x:c r="F2" s="5"/>
      <x:c r="G2" s="5"/>
      <x:c r="H2" s="5"/>
    </x:row>
    <x:row r="3">
      <x:c r="A3" s="14" t="str">
        <x:v>Scenarios</x:v>
      </x:c>
      <x:c r="B3" s="15" t="str"/>
      <x:c r="C3" s="14" t="str">
        <x:v>Unsupported reductions</x:v>
      </x:c>
      <x:c r="D3" s="15" t="str"/>
      <x:c r="E3" s="14" t="str">
        <x:v>Synthetic-only reductions</x:v>
      </x:c>
      <x:c r="F3" s="15" t="str"/>
      <x:c r="G3" s="14" t="str">
        <x:v>Production-effective claims</x:v>
      </x:c>
      <x:c r="H3" s="15" t="str"/>
    </x:row>
    <x:row r="4">
      <x:c r="A4" s="16" t="n">
        <x:f>COUNTA('Risk Reconciliation'!A5:A30)</x:f>
        <x:v>21</x:v>
      </x:c>
      <x:c r="B4" s="17"/>
      <x:c r="C4" s="16" t="n">
        <x:f>COUNTIF('Risk Reconciliation'!K5:K30,"Unsupported reduction — evidence ID absent")</x:f>
        <x:v>12</x:v>
      </x:c>
      <x:c r="D4" s="17"/>
      <x:c r="E4" s="16" t="n">
        <x:f>COUNTIF('Risk Reconciliation'!K5:K30,"Provisional reduction — synthetic evidence only")</x:f>
        <x:v>2</x:v>
      </x:c>
      <x:c r="F4" s="17"/>
      <x:c r="G4" s="16" t="n">
        <x:f>COUNTIF('Risk Reconciliation'!J5:J30,"Yes")</x:f>
        <x:v>0</x:v>
      </x:c>
      <x:c r="H4" s="17"/>
    </x:row>
    <x:row r="6">
      <x:c r="A6" s="19" t="str">
        <x:v>Decision rule</x:v>
      </x:c>
      <x:c r="B6" s="19" t="str">
        <x:v>Current result</x:v>
      </x:c>
      <x:c r="C6" s="19" t="str">
        <x:v>Consequence</x:v>
      </x:c>
      <x:c r="D6" s="19" t="str">
        <x:v>Owner action</x:v>
      </x:c>
    </x:row>
    <x:row r="7">
      <x:c r="A7" s="26" t="str">
        <x:v>Lower residual score without evidence</x:v>
      </x:c>
      <x:c r="B7" s="26" t="str">
        <x:v>12 scenarios</x:v>
      </x:c>
      <x:c r="C7" s="26" t="str">
        <x:v>Unsupported pending reassessment</x:v>
      </x:c>
      <x:c r="D7" s="26" t="str">
        <x:v>Use inherent risk for production decisions</x:v>
      </x:c>
    </x:row>
    <x:row r="8">
      <x:c r="A8" s="27" t="str">
        <x:v>Lower score with synthetic evidence</x:v>
      </x:c>
      <x:c r="B8" s="27" t="str">
        <x:v>2 scenarios</x:v>
      </x:c>
      <x:c r="C8" s="27" t="str">
        <x:v>Provisional; no production credit</x:v>
      </x:c>
      <x:c r="D8" s="27" t="str">
        <x:v>Collect sustained operating and outcome evidence</x:v>
      </x:c>
    </x:row>
    <x:row r="9">
      <x:c r="A9" s="27" t="str">
        <x:v>Recorded current equals inherent</x:v>
      </x:c>
      <x:c r="B9" s="27" t="str">
        <x:v>7 scenarios</x:v>
      </x:c>
      <x:c r="C9" s="27" t="str">
        <x:v>No risk-reduction claim</x:v>
      </x:c>
      <x:c r="D9" s="27" t="str">
        <x:v>Retain score and gate; do not claim validation</x:v>
      </x:c>
    </x:row>
    <x:row r="10">
      <x:c r="A10" s="27" t="str">
        <x:v>FeatherForecast effectiveness</x:v>
      </x:c>
      <x:c r="B10" s="27" t="str">
        <x:v>Effective / High confidence not supportable</x:v>
      </x:c>
      <x:c r="C10" s="27" t="str">
        <x:v>Continued-use decision requires evidence retrieval</x:v>
      </x:c>
      <x:c r="D10" s="27" t="str">
        <x:v>Retrieve evidence or reassess/tighten gate</x:v>
      </x:c>
    </x:row>
    <x:row r="11">
      <x:c r="A11" s="27" t="str">
        <x:v>AI-007</x:v>
      </x:c>
      <x:c r="B11" s="27" t="str">
        <x:v>Aggregate condition</x:v>
      </x:c>
      <x:c r="C11" s="27" t="str">
        <x:v>No homogeneous system conclusion</x:v>
      </x:c>
      <x:c r="D11" s="27" t="str">
        <x:v>Discover, contain and decompose</x:v>
      </x:c>
    </x:row>
    <x:row r="12">
      <x:c r="A12" s="28" t="str">
        <x:v>Control evidence index</x:v>
      </x:c>
      <x:c r="B12" s="28" t="str">
        <x:v>Exists</x:v>
      </x:c>
      <x:c r="C12" s="28" t="str">
        <x:v>AI-GOV-03 can advance at document level</x:v>
      </x:c>
      <x:c r="D12" s="28" t="str">
        <x:v>Set maintenance cadence and test operation</x:v>
      </x:c>
    </x:row>
    <x:row r="14" ht="34" customHeight="1">
      <x:c r="A14" s="31" t="str">
        <x:v>No current lifecycle gate is relaxed. Synthetic evidence remains portfolio demonstration evidence, not production effectiveness or validated risk reduction.</x:v>
      </x:c>
      <x:c r="B14" s="31"/>
      <x:c r="C14" s="31"/>
      <x:c r="D14" s="31"/>
      <x:c r="E14" s="31"/>
      <x:c r="F14" s="31"/>
      <x:c r="G14" s="31"/>
      <x:c r="H14" s="31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18" hidden="0" customWidth="1"/>
    <x:col min="5" max="5" width="24" hidden="0" customWidth="1"/>
    <x:col min="6" max="6" width="55" hidden="0" customWidth="1"/>
    <x:col min="7" max="7" width="35" hidden="0" customWidth="1"/>
    <x:col min="8" max="8" width="32" hidden="0" customWidth="1"/>
    <x:col min="9" max="9" width="57" hidden="0" customWidth="1"/>
  </x:cols>
  <x:sheetData>
    <x:row r="1" ht="30" customHeight="1">
      <x:c r="A1" s="2" t="str">
        <x:v>System-Level Reconciliation</x:v>
      </x:c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5" t="str">
        <x:v>Original labels are preserved beside the evidence-aware statements that control their interpretation</x:v>
      </x:c>
      <x:c r="B2" s="5"/>
      <x:c r="C2" s="5"/>
      <x:c r="D2" s="5"/>
      <x:c r="E2" s="5"/>
      <x:c r="F2" s="5"/>
      <x:c r="G2" s="5"/>
      <x:c r="H2" s="5"/>
      <x:c r="I2" s="5"/>
    </x:row>
    <x:row r="4" ht="32" customHeight="1">
      <x:c r="A4" s="32" t="str">
        <x:v>AI ID</x:v>
      </x:c>
      <x:c r="B4" s="32" t="str">
        <x:v>System</x:v>
      </x:c>
      <x:c r="C4" s="32" t="str">
        <x:v>Original Effectiveness</x:v>
      </x:c>
      <x:c r="D4" s="32" t="str">
        <x:v>Original Confidence</x:v>
      </x:c>
      <x:c r="E4" s="32" t="str">
        <x:v>Recorded Current Residual</x:v>
      </x:c>
      <x:c r="F4" s="32" t="str">
        <x:v>Reconciled Evidence-Maturity Statement</x:v>
      </x:c>
      <x:c r="G4" s="32" t="str">
        <x:v>Reconciled Confidence</x:v>
      </x:c>
      <x:c r="H4" s="32" t="str">
        <x:v>Current Gate</x:v>
      </x:c>
      <x:c r="I4" s="32" t="str">
        <x:v>Management Treatment</x:v>
      </x:c>
    </x:row>
    <x:row r="5">
      <x:c r="A5" s="40" t="str">
        <x:v>AI-001</x:v>
      </x:c>
      <x:c r="B5" s="40" t="str">
        <x:v>DuckDesign AI</x:v>
      </x:c>
      <x:c r="C5" s="40" t="str">
        <x:v>Partially Effective</x:v>
      </x:c>
      <x:c r="D5" s="40" t="str">
        <x:v>Medium</x:v>
      </x:c>
      <x:c r="E5" s="40" t="str">
        <x:v>High (10)</x:v>
      </x:c>
      <x:c r="F5" s="40" t="str">
        <x:v>Design/status assertions only; operating effectiveness not evidenced</x:v>
      </x:c>
      <x:c r="G5" s="40" t="str">
        <x:v>Low</x:v>
      </x:c>
      <x:c r="H5" s="40" t="str">
        <x:v>Restricted pilot only</x:v>
      </x:c>
      <x:c r="I5" s="40" t="str">
        <x:v>No linked execution evidence supports the current likelihood reductions.</x:v>
      </x:c>
    </x:row>
    <x:row r="6">
      <x:c r="A6" s="41" t="str">
        <x:v>AI-002</x:v>
      </x:c>
      <x:c r="B6" s="41" t="str">
        <x:v>QuackBot</x:v>
      </x:c>
      <x:c r="C6" s="41" t="str">
        <x:v>Partially Effective</x:v>
      </x:c>
      <x:c r="D6" s="41" t="str">
        <x:v>Low-Medium</x:v>
      </x:c>
      <x:c r="E6" s="41" t="str">
        <x:v>High (12)</x:v>
      </x:c>
      <x:c r="F6" s="41" t="str">
        <x:v>Design/status assertions only; operating effectiveness not evidenced</x:v>
      </x:c>
      <x:c r="G6" s="41" t="str">
        <x:v>Low</x:v>
      </x:c>
      <x:c r="H6" s="41" t="str">
        <x:v>Production blocked pending gates</x:v>
      </x:c>
      <x:c r="I6" s="41" t="str">
        <x:v>Release remains blocked; no linked execution evidence supports current likelihood reductions.</x:v>
      </x:c>
    </x:row>
    <x:row r="7">
      <x:c r="A7" s="41" t="str">
        <x:v>AI-003</x:v>
      </x:c>
      <x:c r="B7" s="41" t="str">
        <x:v>FeatherForecast</x:v>
      </x:c>
      <x:c r="C7" s="41" t="str">
        <x:v>Effective</x:v>
      </x:c>
      <x:c r="D7" s="41" t="str">
        <x:v>High</x:v>
      </x:c>
      <x:c r="E7" s="41" t="str">
        <x:v>Moderate (6)</x:v>
      </x:c>
      <x:c r="F7" s="41" t="str">
        <x:v>Unverified — production effectiveness evidence not inspected</x:v>
      </x:c>
      <x:c r="G7" s="41" t="str">
        <x:v>Low pending retrieval</x:v>
      </x:c>
      <x:c r="H7" s="41" t="str">
        <x:v>Continue with monitoring</x:v>
      </x:c>
      <x:c r="I7" s="41" t="str">
        <x:v>Effective / High confidence is not supportable from the repository evidence set.</x:v>
      </x:c>
    </x:row>
    <x:row r="8">
      <x:c r="A8" s="41" t="str">
        <x:v>AI-004</x:v>
      </x:c>
      <x:c r="B8" s="41" t="str">
        <x:v>WingInspect Vision</x:v>
      </x:c>
      <x:c r="C8" s="41" t="str">
        <x:v>Partially Effective</x:v>
      </x:c>
      <x:c r="D8" s="41" t="str">
        <x:v>Medium</x:v>
      </x:c>
      <x:c r="E8" s="41" t="str">
        <x:v>High (10)</x:v>
      </x:c>
      <x:c r="F8" s="41" t="str">
        <x:v>WI-01 synthetic operation tested; production effectiveness unverified</x:v>
      </x:c>
      <x:c r="G8" s="41" t="str">
        <x:v>Medium for synthetic workflow / Low for production</x:v>
      </x:c>
      <x:c r="H8" s="41" t="str">
        <x:v>Restricted pilot only</x:v>
      </x:c>
      <x:c r="I8" s="41" t="str">
        <x:v>R01 has synthetic evidence; R02–R03 reductions remain unsupported.</x:v>
      </x:c>
    </x:row>
    <x:row r="9">
      <x:c r="A9" s="41" t="str">
        <x:v>AI-005</x:v>
      </x:c>
      <x:c r="B9" s="41" t="str">
        <x:v>DuckTalent AI</x:v>
      </x:c>
      <x:c r="C9" s="41" t="str">
        <x:v>Not Implemented</x:v>
      </x:c>
      <x:c r="D9" s="41" t="str">
        <x:v>Low</x:v>
      </x:c>
      <x:c r="E9" s="41" t="str">
        <x:v>Critical (20)</x:v>
      </x:c>
      <x:c r="F9" s="41" t="str">
        <x:v>DT-02 synthetic operation tested; critical blockers remain</x:v>
      </x:c>
      <x:c r="G9" s="41" t="str">
        <x:v>Medium for synthetic test / Low for production readiness</x:v>
      </x:c>
      <x:c r="H9" s="41" t="str">
        <x:v>Do not deploy in current state</x:v>
      </x:c>
      <x:c r="I9" s="41" t="str">
        <x:v>Synthetic evidence does not reduce recorded Critical risk.</x:v>
      </x:c>
    </x:row>
    <x:row r="10">
      <x:c r="A10" s="41" t="str">
        <x:v>AI-006</x:v>
      </x:c>
      <x:c r="B10" s="41" t="str">
        <x:v>PondGPT</x:v>
      </x:c>
      <x:c r="C10" s="41" t="str">
        <x:v>Partially Effective</x:v>
      </x:c>
      <x:c r="D10" s="41" t="str">
        <x:v>Medium</x:v>
      </x:c>
      <x:c r="E10" s="41" t="str">
        <x:v>High (12)</x:v>
      </x:c>
      <x:c r="F10" s="41" t="str">
        <x:v>PG-02 synthetic operation tested; production effectiveness unverified</x:v>
      </x:c>
      <x:c r="G10" s="41" t="str">
        <x:v>Medium for synthetic control / Low for production</x:v>
      </x:c>
      <x:c r="H10" s="41" t="str">
        <x:v>Restricted pilot only</x:v>
      </x:c>
      <x:c r="I10" s="41" t="str">
        <x:v>R01 has synthetic evidence; R02 reduction remains unsupported.</x:v>
      </x:c>
    </x:row>
    <x:row r="11">
      <x:c r="A11" s="42" t="str">
        <x:v>AI-007</x:v>
      </x:c>
      <x:c r="B11" s="42" t="str">
        <x:v>Unregistered GenAI Usage</x:v>
      </x:c>
      <x:c r="C11" s="42" t="str">
        <x:v>Weak</x:v>
      </x:c>
      <x:c r="D11" s="42" t="str">
        <x:v>Low</x:v>
      </x:c>
      <x:c r="E11" s="42" t="str">
        <x:v>Critical (20)</x:v>
      </x:c>
      <x:c r="F11" s="42" t="str">
        <x:v>Weak aggregate condition; homogeneous effectiveness rating is not valid</x:v>
      </x:c>
      <x:c r="G11" s="42" t="str">
        <x:v>Low</x:v>
      </x:c>
      <x:c r="H11" s="42" t="str">
        <x:v>Immediate containment and decomposition</x:v>
      </x:c>
      <x:c r="I11" s="42" t="str">
        <x:v>Contain and decompose before system-level assessment.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27d0ffac0c146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1" hidden="0" customWidth="1"/>
    <x:col min="4" max="4" width="25" hidden="0" customWidth="1"/>
    <x:col min="5" max="5" width="15" hidden="0" customWidth="1"/>
    <x:col min="6" max="6" width="15" hidden="0" customWidth="1"/>
    <x:col min="7" max="7" width="13" hidden="0" customWidth="1"/>
    <x:col min="8" max="8" width="29" hidden="0" customWidth="1"/>
    <x:col min="9" max="9" width="29" hidden="0" customWidth="1"/>
    <x:col min="10" max="10" width="29" hidden="0" customWidth="1"/>
    <x:col min="11" max="11" width="36" hidden="0" customWidth="1"/>
    <x:col min="12" max="12" width="43" hidden="0" customWidth="1"/>
    <x:col min="13" max="13" width="55" hidden="0" customWidth="1"/>
    <x:col min="14" max="14" width="33" hidden="0" customWidth="1"/>
    <x:col min="15" max="15" width="17" hidden="0" customWidth="1"/>
    <x:col min="16" max="16" width="42" hidden="0" customWidth="1"/>
  </x:cols>
  <x:sheetData>
    <x:row r="1" ht="30" customHeight="1">
      <x:c r="A1" s="2" t="str">
        <x:v>Scenario-Level Risk Reconciliation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5" t="str">
        <x:v>Scores remain recorded; Score Support Status determines whether a reduction is decision-ready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 ht="32" customHeight="1">
      <x:c r="A4" s="32" t="str">
        <x:v>Risk ID</x:v>
      </x:c>
      <x:c r="B4" s="32" t="str">
        <x:v>AI ID</x:v>
      </x:c>
      <x:c r="C4" s="32" t="str">
        <x:v>System</x:v>
      </x:c>
      <x:c r="D4" s="32" t="str">
        <x:v>Domain</x:v>
      </x:c>
      <x:c r="E4" s="32" t="str">
        <x:v>Inherent Score</x:v>
      </x:c>
      <x:c r="F4" s="32" t="str">
        <x:v>Current Score</x:v>
      </x:c>
      <x:c r="G4" s="32" t="str">
        <x:v>Reduction</x:v>
      </x:c>
      <x:c r="H4" s="32" t="str">
        <x:v>Inherent Rating</x:v>
      </x:c>
      <x:c r="I4" s="32" t="str">
        <x:v>Recorded Current Rating</x:v>
      </x:c>
      <x:c r="J4" s="32" t="str">
        <x:v>Available Evidence IDs</x:v>
      </x:c>
      <x:c r="K4" s="32" t="str">
        <x:v>Score Support Status</x:v>
      </x:c>
      <x:c r="L4" s="32" t="str">
        <x:v>Evidence Basis</x:v>
      </x:c>
      <x:c r="M4" s="32" t="str">
        <x:v>Required Action</x:v>
      </x:c>
      <x:c r="N4" s="32" t="str">
        <x:v>Current Gate</x:v>
      </x:c>
      <x:c r="O4" s="32" t="str">
        <x:v>Reviewer Status</x:v>
      </x:c>
      <x:c r="P4" s="32" t="str">
        <x:v>Repository Snapshot</x:v>
      </x:c>
    </x:row>
    <x:row r="5">
      <x:c r="A5" s="40" t="str">
        <x:v>AI-001-R01</x:v>
      </x:c>
      <x:c r="B5" s="40" t="str">
        <x:v>AI-001</x:v>
      </x:c>
      <x:c r="C5" s="40" t="str">
        <x:v>DuckDesign AI</x:v>
      </x:c>
      <x:c r="D5" s="40" t="str">
        <x:v>Safety &amp; physical harm</x:v>
      </x:c>
      <x:c r="E5" s="43" t="n">
        <x:v>15</x:v>
      </x:c>
      <x:c r="F5" s="43" t="n">
        <x:v>10</x:v>
      </x:c>
      <x:c r="G5" s="43" t="n">
        <x:f>E5-F5</x:f>
        <x:v>5</x:v>
      </x:c>
      <x:c r="H5" s="40" t="str">
        <x:v>Severity 5 x Likelihood 3 = 15 High</x:v>
      </x:c>
      <x:c r="I5" s="40" t="str">
        <x:v>Severity 5 x Likelihood 2 = 10 High</x:v>
      </x:c>
      <x:c r="J5" s="40" t="str"/>
      <x:c r="K5" s="40" t="str">
        <x:v>Unsupported reduction — evidence ID absent</x:v>
      </x:c>
      <x:c r="L5" s="40" t="str">
        <x:v>No linked operating-evidence record</x:v>
      </x:c>
      <x:c r="M5" s="40" t="str">
        <x:v>Do not use lower score to relax gate; obtain evidence and reassess. Use inherent risk meanwhile.</x:v>
      </x:c>
      <x:c r="N5" s="40" t="str">
        <x:v>Restricted pilot only</x:v>
      </x:c>
      <x:c r="O5" s="40" t="str">
        <x:v>Open</x:v>
      </x:c>
      <x:c r="P5" s="40" t="str">
        <x:v>e734ea64d6a9e5db35b59c4855e832aa433b43ad</x:v>
      </x:c>
    </x:row>
    <x:row r="6">
      <x:c r="A6" s="41" t="str">
        <x:v>AI-001-R02</x:v>
      </x:c>
      <x:c r="B6" s="41" t="str">
        <x:v>AI-001</x:v>
      </x:c>
      <x:c r="C6" s="41" t="str">
        <x:v>DuckDesign AI</x:v>
      </x:c>
      <x:c r="D6" s="41" t="str">
        <x:v>Privacy &amp; data governance</x:v>
      </x:c>
      <x:c r="E6" s="44" t="n">
        <x:v>12</x:v>
      </x:c>
      <x:c r="F6" s="44" t="n">
        <x:v>8</x:v>
      </x:c>
      <x:c r="G6" s="44" t="n">
        <x:f>E6-F6</x:f>
        <x:v>4</x:v>
      </x:c>
      <x:c r="H6" s="41" t="str">
        <x:v>Severity 4 x Likelihood 3 = 12 High</x:v>
      </x:c>
      <x:c r="I6" s="41" t="str">
        <x:v>Severity 4 x Likelihood 2 = 8 Moderate</x:v>
      </x:c>
      <x:c r="J6" s="41" t="str"/>
      <x:c r="K6" s="41" t="str">
        <x:v>Unsupported reduction — evidence ID absent</x:v>
      </x:c>
      <x:c r="L6" s="41" t="str">
        <x:v>No linked operating-evidence record</x:v>
      </x:c>
      <x:c r="M6" s="41" t="str">
        <x:v>Do not use lower score to relax gate; obtain evidence and reassess. Use inherent risk meanwhile.</x:v>
      </x:c>
      <x:c r="N6" s="41" t="str">
        <x:v>Restricted pilot only</x:v>
      </x:c>
      <x:c r="O6" s="41" t="str">
        <x:v>Open</x:v>
      </x:c>
      <x:c r="P6" s="41" t="str">
        <x:v>e734ea64d6a9e5db35b59c4855e832aa433b43ad</x:v>
      </x:c>
    </x:row>
    <x:row r="7">
      <x:c r="A7" s="41" t="str">
        <x:v>AI-001-R03</x:v>
      </x:c>
      <x:c r="B7" s="41" t="str">
        <x:v>AI-001</x:v>
      </x:c>
      <x:c r="C7" s="41" t="str">
        <x:v>DuckDesign AI</x:v>
      </x:c>
      <x:c r="D7" s="41" t="str">
        <x:v>Reliability &amp; robustness</x:v>
      </x:c>
      <x:c r="E7" s="44" t="n">
        <x:v>16</x:v>
      </x:c>
      <x:c r="F7" s="44" t="n">
        <x:v>8</x:v>
      </x:c>
      <x:c r="G7" s="44" t="n">
        <x:f>E7-F7</x:f>
        <x:v>8</x:v>
      </x:c>
      <x:c r="H7" s="41" t="str">
        <x:v>Severity 4 x Likelihood 4 = 16 High</x:v>
      </x:c>
      <x:c r="I7" s="41" t="str">
        <x:v>Severity 4 x Likelihood 2 = 8 Moderate</x:v>
      </x:c>
      <x:c r="J7" s="41" t="str"/>
      <x:c r="K7" s="41" t="str">
        <x:v>Unsupported reduction — evidence ID absent</x:v>
      </x:c>
      <x:c r="L7" s="41" t="str">
        <x:v>No linked operating-evidence record</x:v>
      </x:c>
      <x:c r="M7" s="41" t="str">
        <x:v>Do not use lower score to relax gate; obtain evidence and reassess. Use inherent risk meanwhile.</x:v>
      </x:c>
      <x:c r="N7" s="41" t="str">
        <x:v>Restricted pilot only</x:v>
      </x:c>
      <x:c r="O7" s="41" t="str">
        <x:v>Open</x:v>
      </x:c>
      <x:c r="P7" s="41" t="str">
        <x:v>e734ea64d6a9e5db35b59c4855e832aa433b43ad</x:v>
      </x:c>
    </x:row>
    <x:row r="8">
      <x:c r="A8" s="41" t="str">
        <x:v>AI-002-R01</x:v>
      </x:c>
      <x:c r="B8" s="41" t="str">
        <x:v>AI-002</x:v>
      </x:c>
      <x:c r="C8" s="41" t="str">
        <x:v>QuackBot</x:v>
      </x:c>
      <x:c r="D8" s="41" t="str">
        <x:v>Reliability &amp; robustness</x:v>
      </x:c>
      <x:c r="E8" s="44" t="n">
        <x:v>16</x:v>
      </x:c>
      <x:c r="F8" s="44" t="n">
        <x:v>12</x:v>
      </x:c>
      <x:c r="G8" s="44" t="n">
        <x:f>E8-F8</x:f>
        <x:v>4</x:v>
      </x:c>
      <x:c r="H8" s="41" t="str">
        <x:v>Severity 4 x Likelihood 4 = 16 High</x:v>
      </x:c>
      <x:c r="I8" s="41" t="str">
        <x:v>Severity 4 x Likelihood 3 = 12 High</x:v>
      </x:c>
      <x:c r="J8" s="41" t="str"/>
      <x:c r="K8" s="41" t="str">
        <x:v>Unsupported reduction — evidence ID absent</x:v>
      </x:c>
      <x:c r="L8" s="41" t="str">
        <x:v>No linked operating-evidence record</x:v>
      </x:c>
      <x:c r="M8" s="41" t="str">
        <x:v>Do not use lower score to relax gate; obtain evidence and reassess. Use inherent risk meanwhile.</x:v>
      </x:c>
      <x:c r="N8" s="41" t="str">
        <x:v>Production blocked pending gates</x:v>
      </x:c>
      <x:c r="O8" s="41" t="str">
        <x:v>Open</x:v>
      </x:c>
      <x:c r="P8" s="41" t="str">
        <x:v>e734ea64d6a9e5db35b59c4855e832aa433b43ad</x:v>
      </x:c>
    </x:row>
    <x:row r="9">
      <x:c r="A9" s="41" t="str">
        <x:v>AI-002-R02</x:v>
      </x:c>
      <x:c r="B9" s="41" t="str">
        <x:v>AI-002</x:v>
      </x:c>
      <x:c r="C9" s="41" t="str">
        <x:v>QuackBot</x:v>
      </x:c>
      <x:c r="D9" s="41" t="str">
        <x:v>Security &amp; adversarial manipulation</x:v>
      </x:c>
      <x:c r="E9" s="44" t="n">
        <x:v>16</x:v>
      </x:c>
      <x:c r="F9" s="44" t="n">
        <x:v>12</x:v>
      </x:c>
      <x:c r="G9" s="44" t="n">
        <x:f>E9-F9</x:f>
        <x:v>4</x:v>
      </x:c>
      <x:c r="H9" s="41" t="str">
        <x:v>Severity 4 x Likelihood 4 = 16 High</x:v>
      </x:c>
      <x:c r="I9" s="41" t="str">
        <x:v>Severity 4 x Likelihood 3 = 12 High</x:v>
      </x:c>
      <x:c r="J9" s="41" t="str"/>
      <x:c r="K9" s="41" t="str">
        <x:v>Unsupported reduction — evidence ID absent</x:v>
      </x:c>
      <x:c r="L9" s="41" t="str">
        <x:v>No linked operating-evidence record</x:v>
      </x:c>
      <x:c r="M9" s="41" t="str">
        <x:v>Do not use lower score to relax gate; obtain evidence and reassess. Use inherent risk meanwhile.</x:v>
      </x:c>
      <x:c r="N9" s="41" t="str">
        <x:v>Production blocked pending gates</x:v>
      </x:c>
      <x:c r="O9" s="41" t="str">
        <x:v>Open</x:v>
      </x:c>
      <x:c r="P9" s="41" t="str">
        <x:v>e734ea64d6a9e5db35b59c4855e832aa433b43ad</x:v>
      </x:c>
    </x:row>
    <x:row r="10">
      <x:c r="A10" s="41" t="str">
        <x:v>AI-002-R03</x:v>
      </x:c>
      <x:c r="B10" s="41" t="str">
        <x:v>AI-002</x:v>
      </x:c>
      <x:c r="C10" s="41" t="str">
        <x:v>QuackBot</x:v>
      </x:c>
      <x:c r="D10" s="41" t="str">
        <x:v>Legal / compliance</x:v>
      </x:c>
      <x:c r="E10" s="44" t="n">
        <x:v>12</x:v>
      </x:c>
      <x:c r="F10" s="44" t="n">
        <x:v>9</x:v>
      </x:c>
      <x:c r="G10" s="44" t="n">
        <x:f>E10-F10</x:f>
        <x:v>3</x:v>
      </x:c>
      <x:c r="H10" s="41" t="str">
        <x:v>Severity 3 x Likelihood 4 = 12 High</x:v>
      </x:c>
      <x:c r="I10" s="41" t="str">
        <x:v>Severity 3 x Likelihood 3 = 9 Moderate</x:v>
      </x:c>
      <x:c r="J10" s="41" t="str"/>
      <x:c r="K10" s="41" t="str">
        <x:v>Unsupported reduction — evidence ID absent</x:v>
      </x:c>
      <x:c r="L10" s="41" t="str">
        <x:v>No linked operating-evidence record</x:v>
      </x:c>
      <x:c r="M10" s="41" t="str">
        <x:v>Do not use lower score to relax gate; obtain evidence and reassess. Use inherent risk meanwhile.</x:v>
      </x:c>
      <x:c r="N10" s="41" t="str">
        <x:v>Production blocked pending gates</x:v>
      </x:c>
      <x:c r="O10" s="41" t="str">
        <x:v>Open</x:v>
      </x:c>
      <x:c r="P10" s="41" t="str">
        <x:v>e734ea64d6a9e5db35b59c4855e832aa433b43ad</x:v>
      </x:c>
    </x:row>
    <x:row r="11">
      <x:c r="A11" s="41" t="str">
        <x:v>AI-003-R01</x:v>
      </x:c>
      <x:c r="B11" s="41" t="str">
        <x:v>AI-003</x:v>
      </x:c>
      <x:c r="C11" s="41" t="str">
        <x:v>FeatherForecast</x:v>
      </x:c>
      <x:c r="D11" s="41" t="str">
        <x:v>Operational / financial</x:v>
      </x:c>
      <x:c r="E11" s="44" t="n">
        <x:v>9</x:v>
      </x:c>
      <x:c r="F11" s="44" t="n">
        <x:v>6</x:v>
      </x:c>
      <x:c r="G11" s="44" t="n">
        <x:f>E11-F11</x:f>
        <x:v>3</x:v>
      </x:c>
      <x:c r="H11" s="41" t="str">
        <x:v>Severity 3 x Likelihood 3 = 9 Moderate</x:v>
      </x:c>
      <x:c r="I11" s="41" t="str">
        <x:v>Severity 3 x Likelihood 2 = 6 Moderate</x:v>
      </x:c>
      <x:c r="J11" s="41" t="str"/>
      <x:c r="K11" s="41" t="str">
        <x:v>Unsupported reduction — evidence ID absent</x:v>
      </x:c>
      <x:c r="L11" s="41" t="str">
        <x:v>No linked operating-evidence record</x:v>
      </x:c>
      <x:c r="M11" s="41" t="str">
        <x:v>Do not use lower score to relax gate; obtain evidence and reassess. Use inherent risk meanwhile.</x:v>
      </x:c>
      <x:c r="N11" s="41" t="str">
        <x:v>Continue with monitoring</x:v>
      </x:c>
      <x:c r="O11" s="41" t="str">
        <x:v>Open</x:v>
      </x:c>
      <x:c r="P11" s="41" t="str">
        <x:v>e734ea64d6a9e5db35b59c4855e832aa433b43ad</x:v>
      </x:c>
    </x:row>
    <x:row r="12">
      <x:c r="A12" s="41" t="str">
        <x:v>AI-003-R02</x:v>
      </x:c>
      <x:c r="B12" s="41" t="str">
        <x:v>AI-003</x:v>
      </x:c>
      <x:c r="C12" s="41" t="str">
        <x:v>FeatherForecast</x:v>
      </x:c>
      <x:c r="D12" s="41" t="str">
        <x:v>Reliability &amp; robustness</x:v>
      </x:c>
      <x:c r="E12" s="44" t="n">
        <x:v>9</x:v>
      </x:c>
      <x:c r="F12" s="44" t="n">
        <x:v>6</x:v>
      </x:c>
      <x:c r="G12" s="44" t="n">
        <x:f>E12-F12</x:f>
        <x:v>3</x:v>
      </x:c>
      <x:c r="H12" s="41" t="str">
        <x:v>Severity 3 x Likelihood 3 = 9 Moderate</x:v>
      </x:c>
      <x:c r="I12" s="41" t="str">
        <x:v>Severity 3 x Likelihood 2 = 6 Moderate</x:v>
      </x:c>
      <x:c r="J12" s="41" t="str"/>
      <x:c r="K12" s="41" t="str">
        <x:v>Unsupported reduction — evidence ID absent</x:v>
      </x:c>
      <x:c r="L12" s="41" t="str">
        <x:v>No linked operating-evidence record</x:v>
      </x:c>
      <x:c r="M12" s="41" t="str">
        <x:v>Do not use lower score to relax gate; obtain evidence and reassess. Use inherent risk meanwhile.</x:v>
      </x:c>
      <x:c r="N12" s="41" t="str">
        <x:v>Continue with monitoring</x:v>
      </x:c>
      <x:c r="O12" s="41" t="str">
        <x:v>Open</x:v>
      </x:c>
      <x:c r="P12" s="41" t="str">
        <x:v>e734ea64d6a9e5db35b59c4855e832aa433b43ad</x:v>
      </x:c>
    </x:row>
    <x:row r="13">
      <x:c r="A13" s="41" t="str">
        <x:v>AI-003-R03</x:v>
      </x:c>
      <x:c r="B13" s="41" t="str">
        <x:v>AI-003</x:v>
      </x:c>
      <x:c r="C13" s="41" t="str">
        <x:v>FeatherForecast</x:v>
      </x:c>
      <x:c r="D13" s="41" t="str">
        <x:v>Privacy &amp; data governance</x:v>
      </x:c>
      <x:c r="E13" s="44" t="n">
        <x:v>6</x:v>
      </x:c>
      <x:c r="F13" s="44" t="n">
        <x:v>3</x:v>
      </x:c>
      <x:c r="G13" s="44" t="n">
        <x:f>E13-F13</x:f>
        <x:v>3</x:v>
      </x:c>
      <x:c r="H13" s="41" t="str">
        <x:v>Severity 3 x Likelihood 2 = 6 Moderate</x:v>
      </x:c>
      <x:c r="I13" s="41" t="str">
        <x:v>Severity 3 x Likelihood 1 = 3 Low</x:v>
      </x:c>
      <x:c r="J13" s="41" t="str"/>
      <x:c r="K13" s="41" t="str">
        <x:v>Unsupported reduction — evidence ID absent</x:v>
      </x:c>
      <x:c r="L13" s="41" t="str">
        <x:v>No linked operating-evidence record</x:v>
      </x:c>
      <x:c r="M13" s="41" t="str">
        <x:v>Do not use lower score to relax gate; obtain evidence and reassess. Use inherent risk meanwhile.</x:v>
      </x:c>
      <x:c r="N13" s="41" t="str">
        <x:v>Continue with monitoring</x:v>
      </x:c>
      <x:c r="O13" s="41" t="str">
        <x:v>Open</x:v>
      </x:c>
      <x:c r="P13" s="41" t="str">
        <x:v>e734ea64d6a9e5db35b59c4855e832aa433b43ad</x:v>
      </x:c>
    </x:row>
    <x:row r="14">
      <x:c r="A14" s="41" t="str">
        <x:v>AI-004-R01</x:v>
      </x:c>
      <x:c r="B14" s="41" t="str">
        <x:v>AI-004</x:v>
      </x:c>
      <x:c r="C14" s="41" t="str">
        <x:v>WingInspect Vision</x:v>
      </x:c>
      <x:c r="D14" s="41" t="str">
        <x:v>Safety &amp; physical harm</x:v>
      </x:c>
      <x:c r="E14" s="44" t="n">
        <x:v>15</x:v>
      </x:c>
      <x:c r="F14" s="44" t="n">
        <x:v>10</x:v>
      </x:c>
      <x:c r="G14" s="44" t="n">
        <x:f>E14-F14</x:f>
        <x:v>5</x:v>
      </x:c>
      <x:c r="H14" s="41" t="str">
        <x:v>Severity 5 x Likelihood 3 = 15 High</x:v>
      </x:c>
      <x:c r="I14" s="41" t="str">
        <x:v>Severity 5 x Likelihood 2 = 10 High</x:v>
      </x:c>
      <x:c r="J14" s="41" t="str">
        <x:v>EV-AI004-001; EV-AI004-002; EV-AI004-003</x:v>
      </x:c>
      <x:c r="K14" s="41" t="str">
        <x:v>Provisional reduction — synthetic evidence only</x:v>
      </x:c>
      <x:c r="L14" s="41" t="str">
        <x:v>EV-AI004-001; EV-AI004-002; EV-AI004-003</x:v>
      </x:c>
      <x:c r="M14" s="41" t="str">
        <x:v>Retain for traceability; use inherent risk for production decisions until operating/outcome evidence is accepted.</x:v>
      </x:c>
      <x:c r="N14" s="41" t="str">
        <x:v>Restricted pilot only</x:v>
      </x:c>
      <x:c r="O14" s="41" t="str">
        <x:v>Open</x:v>
      </x:c>
      <x:c r="P14" s="41" t="str">
        <x:v>e734ea64d6a9e5db35b59c4855e832aa433b43ad</x:v>
      </x:c>
    </x:row>
    <x:row r="15">
      <x:c r="A15" s="41" t="str">
        <x:v>AI-004-R02</x:v>
      </x:c>
      <x:c r="B15" s="41" t="str">
        <x:v>AI-004</x:v>
      </x:c>
      <x:c r="C15" s="41" t="str">
        <x:v>WingInspect Vision</x:v>
      </x:c>
      <x:c r="D15" s="41" t="str">
        <x:v>Operational / financial</x:v>
      </x:c>
      <x:c r="E15" s="44" t="n">
        <x:v>12</x:v>
      </x:c>
      <x:c r="F15" s="44" t="n">
        <x:v>6</x:v>
      </x:c>
      <x:c r="G15" s="44" t="n">
        <x:f>E15-F15</x:f>
        <x:v>6</x:v>
      </x:c>
      <x:c r="H15" s="41" t="str">
        <x:v>Severity 3 x Likelihood 4 = 12 High</x:v>
      </x:c>
      <x:c r="I15" s="41" t="str">
        <x:v>Severity 3 x Likelihood 2 = 6 Moderate</x:v>
      </x:c>
      <x:c r="J15" s="41" t="str"/>
      <x:c r="K15" s="41" t="str">
        <x:v>Unsupported reduction — evidence ID absent</x:v>
      </x:c>
      <x:c r="L15" s="41" t="str">
        <x:v>No linked operating-evidence record</x:v>
      </x:c>
      <x:c r="M15" s="41" t="str">
        <x:v>Do not use lower score to relax gate; obtain evidence and reassess. Use inherent risk meanwhile.</x:v>
      </x:c>
      <x:c r="N15" s="41" t="str">
        <x:v>Restricted pilot only</x:v>
      </x:c>
      <x:c r="O15" s="41" t="str">
        <x:v>Open</x:v>
      </x:c>
      <x:c r="P15" s="41" t="str">
        <x:v>e734ea64d6a9e5db35b59c4855e832aa433b43ad</x:v>
      </x:c>
    </x:row>
    <x:row r="16">
      <x:c r="A16" s="41" t="str">
        <x:v>AI-004-R03</x:v>
      </x:c>
      <x:c r="B16" s="41" t="str">
        <x:v>AI-004</x:v>
      </x:c>
      <x:c r="C16" s="41" t="str">
        <x:v>WingInspect Vision</x:v>
      </x:c>
      <x:c r="D16" s="41" t="str">
        <x:v>Reliability &amp; robustness</x:v>
      </x:c>
      <x:c r="E16" s="44" t="n">
        <x:v>12</x:v>
      </x:c>
      <x:c r="F16" s="44" t="n">
        <x:v>8</x:v>
      </x:c>
      <x:c r="G16" s="44" t="n">
        <x:f>E16-F16</x:f>
        <x:v>4</x:v>
      </x:c>
      <x:c r="H16" s="41" t="str">
        <x:v>Severity 4 x Likelihood 3 = 12 High</x:v>
      </x:c>
      <x:c r="I16" s="41" t="str">
        <x:v>Severity 4 x Likelihood 2 = 8 Moderate</x:v>
      </x:c>
      <x:c r="J16" s="41" t="str"/>
      <x:c r="K16" s="41" t="str">
        <x:v>Unsupported reduction — evidence ID absent</x:v>
      </x:c>
      <x:c r="L16" s="41" t="str">
        <x:v>No linked operating-evidence record</x:v>
      </x:c>
      <x:c r="M16" s="41" t="str">
        <x:v>Do not use lower score to relax gate; obtain evidence and reassess. Use inherent risk meanwhile.</x:v>
      </x:c>
      <x:c r="N16" s="41" t="str">
        <x:v>Restricted pilot only</x:v>
      </x:c>
      <x:c r="O16" s="41" t="str">
        <x:v>Open</x:v>
      </x:c>
      <x:c r="P16" s="41" t="str">
        <x:v>e734ea64d6a9e5db35b59c4855e832aa433b43ad</x:v>
      </x:c>
    </x:row>
    <x:row r="17">
      <x:c r="A17" s="41" t="str">
        <x:v>AI-005-R01</x:v>
      </x:c>
      <x:c r="B17" s="41" t="str">
        <x:v>AI-005</x:v>
      </x:c>
      <x:c r="C17" s="41" t="str">
        <x:v>DuckTalent AI</x:v>
      </x:c>
      <x:c r="D17" s="41" t="str">
        <x:v>Fundamental rights &amp; fairness</x:v>
      </x:c>
      <x:c r="E17" s="44" t="n">
        <x:v>20</x:v>
      </x:c>
      <x:c r="F17" s="44" t="n">
        <x:v>20</x:v>
      </x:c>
      <x:c r="G17" s="44" t="n">
        <x:f>E17-F17</x:f>
        <x:v>0</x:v>
      </x:c>
      <x:c r="H17" s="41" t="str">
        <x:v>Severity 5 x Likelihood 4 = 20 Critical</x:v>
      </x:c>
      <x:c r="I17" s="41" t="str">
        <x:v>Severity 5 x Likelihood 4 = 20 Critical</x:v>
      </x:c>
      <x:c r="J17" s="41" t="str">
        <x:v>EV-AI005-001; EV-AI005-002; EV-AI005-003; EV-AI005-004; EV-AI005-005; EV-AI005-006; EV-AI005-009; EV-AI005-010; EV-AI005-011; EV-AI005-012; EV-AI005-013; EV-AI005-014</x:v>
      </x:c>
      <x:c r="K17" s="41" t="str">
        <x:v>No reduction claimed</x:v>
      </x:c>
      <x:c r="L17" s="41" t="str">
        <x:v>Synthetic evidence exists; recorded score remains unreduced</x:v>
      </x:c>
      <x:c r="M17" s="41" t="str">
        <x:v>Retain score and gate; do not describe as validated effectiveness.</x:v>
      </x:c>
      <x:c r="N17" s="41" t="str">
        <x:v>Do not deploy in current state</x:v>
      </x:c>
      <x:c r="O17" s="41" t="str">
        <x:v>Open</x:v>
      </x:c>
      <x:c r="P17" s="41" t="str">
        <x:v>e734ea64d6a9e5db35b59c4855e832aa433b43ad</x:v>
      </x:c>
    </x:row>
    <x:row r="18">
      <x:c r="A18" s="41" t="str">
        <x:v>AI-005-R02</x:v>
      </x:c>
      <x:c r="B18" s="41" t="str">
        <x:v>AI-005</x:v>
      </x:c>
      <x:c r="C18" s="41" t="str">
        <x:v>DuckTalent AI</x:v>
      </x:c>
      <x:c r="D18" s="41" t="str">
        <x:v>Human oversight &amp; automation bias</x:v>
      </x:c>
      <x:c r="E18" s="44" t="n">
        <x:v>16</x:v>
      </x:c>
      <x:c r="F18" s="44" t="n">
        <x:v>16</x:v>
      </x:c>
      <x:c r="G18" s="44" t="n">
        <x:f>E18-F18</x:f>
        <x:v>0</x:v>
      </x:c>
      <x:c r="H18" s="41" t="str">
        <x:v>Severity 4 x Likelihood 4 = 16 High</x:v>
      </x:c>
      <x:c r="I18" s="41" t="str">
        <x:v>Severity 4 x Likelihood 4 = 16 High</x:v>
      </x:c>
      <x:c r="J18" s="41" t="str"/>
      <x:c r="K18" s="41" t="str">
        <x:v>No reduction claimed</x:v>
      </x:c>
      <x:c r="L18" s="41" t="str">
        <x:v>No linked operating evidence; recorded score equals inherent risk</x:v>
      </x:c>
      <x:c r="M18" s="41" t="str">
        <x:v>Retain score and gate; do not describe as validated effectiveness.</x:v>
      </x:c>
      <x:c r="N18" s="41" t="str">
        <x:v>Do not deploy in current state</x:v>
      </x:c>
      <x:c r="O18" s="41" t="str">
        <x:v>Open</x:v>
      </x:c>
      <x:c r="P18" s="41" t="str">
        <x:v>e734ea64d6a9e5db35b59c4855e832aa433b43ad</x:v>
      </x:c>
    </x:row>
    <x:row r="19">
      <x:c r="A19" s="41" t="str">
        <x:v>AI-005-R03</x:v>
      </x:c>
      <x:c r="B19" s="41" t="str">
        <x:v>AI-005</x:v>
      </x:c>
      <x:c r="C19" s="41" t="str">
        <x:v>DuckTalent AI</x:v>
      </x:c>
      <x:c r="D19" s="41" t="str">
        <x:v>Privacy &amp; data governance</x:v>
      </x:c>
      <x:c r="E19" s="44" t="n">
        <x:v>12</x:v>
      </x:c>
      <x:c r="F19" s="44" t="n">
        <x:v>12</x:v>
      </x:c>
      <x:c r="G19" s="44" t="n">
        <x:f>E19-F19</x:f>
        <x:v>0</x:v>
      </x:c>
      <x:c r="H19" s="41" t="str">
        <x:v>Severity 4 x Likelihood 3 = 12 High</x:v>
      </x:c>
      <x:c r="I19" s="41" t="str">
        <x:v>Severity 4 x Likelihood 3 = 12 High</x:v>
      </x:c>
      <x:c r="J19" s="41" t="str"/>
      <x:c r="K19" s="41" t="str">
        <x:v>No reduction claimed</x:v>
      </x:c>
      <x:c r="L19" s="41" t="str">
        <x:v>No linked operating evidence; recorded score equals inherent risk</x:v>
      </x:c>
      <x:c r="M19" s="41" t="str">
        <x:v>Retain score and gate; do not describe as validated effectiveness.</x:v>
      </x:c>
      <x:c r="N19" s="41" t="str">
        <x:v>Do not deploy in current state</x:v>
      </x:c>
      <x:c r="O19" s="41" t="str">
        <x:v>Open</x:v>
      </x:c>
      <x:c r="P19" s="41" t="str">
        <x:v>e734ea64d6a9e5db35b59c4855e832aa433b43ad</x:v>
      </x:c>
    </x:row>
    <x:row r="20">
      <x:c r="A20" s="41" t="str">
        <x:v>AI-006-R01</x:v>
      </x:c>
      <x:c r="B20" s="41" t="str">
        <x:v>AI-006</x:v>
      </x:c>
      <x:c r="C20" s="41" t="str">
        <x:v>PondGPT</x:v>
      </x:c>
      <x:c r="D20" s="41" t="str">
        <x:v>Privacy &amp; data governance</x:v>
      </x:c>
      <x:c r="E20" s="44" t="n">
        <x:v>16</x:v>
      </x:c>
      <x:c r="F20" s="44" t="n">
        <x:v>12</x:v>
      </x:c>
      <x:c r="G20" s="44" t="n">
        <x:f>E20-F20</x:f>
        <x:v>4</x:v>
      </x:c>
      <x:c r="H20" s="41" t="str">
        <x:v>Severity 4 x Likelihood 4 = 16 High</x:v>
      </x:c>
      <x:c r="I20" s="41" t="str">
        <x:v>Severity 4 x Likelihood 3 = 12 High</x:v>
      </x:c>
      <x:c r="J20" s="41" t="str">
        <x:v>EV-AI006-001; EV-AI006-002; EV-AI006-003; EV-AI006-004; EV-AI006-005; EV-AI006-006</x:v>
      </x:c>
      <x:c r="K20" s="41" t="str">
        <x:v>Provisional reduction — synthetic evidence only</x:v>
      </x:c>
      <x:c r="L20" s="41" t="str">
        <x:v>EV-AI006-001; EV-AI006-002; EV-AI006-003; EV-AI006-004; EV-AI006-005; EV-AI006-006</x:v>
      </x:c>
      <x:c r="M20" s="41" t="str">
        <x:v>Retain for traceability; use inherent risk for production decisions until operating/outcome evidence is accepted.</x:v>
      </x:c>
      <x:c r="N20" s="41" t="str">
        <x:v>Restricted pilot only</x:v>
      </x:c>
      <x:c r="O20" s="41" t="str">
        <x:v>Open</x:v>
      </x:c>
      <x:c r="P20" s="41" t="str">
        <x:v>e734ea64d6a9e5db35b59c4855e832aa433b43ad</x:v>
      </x:c>
    </x:row>
    <x:row r="21">
      <x:c r="A21" s="41" t="str">
        <x:v>AI-006-R02</x:v>
      </x:c>
      <x:c r="B21" s="41" t="str">
        <x:v>AI-006</x:v>
      </x:c>
      <x:c r="C21" s="41" t="str">
        <x:v>PondGPT</x:v>
      </x:c>
      <x:c r="D21" s="41" t="str">
        <x:v>Security &amp; adversarial manipulation</x:v>
      </x:c>
      <x:c r="E21" s="44" t="n">
        <x:v>16</x:v>
      </x:c>
      <x:c r="F21" s="44" t="n">
        <x:v>12</x:v>
      </x:c>
      <x:c r="G21" s="44" t="n">
        <x:f>E21-F21</x:f>
        <x:v>4</x:v>
      </x:c>
      <x:c r="H21" s="41" t="str">
        <x:v>Severity 4 x Likelihood 4 = 16 High</x:v>
      </x:c>
      <x:c r="I21" s="41" t="str">
        <x:v>Severity 4 x Likelihood 3 = 12 High</x:v>
      </x:c>
      <x:c r="J21" s="41" t="str"/>
      <x:c r="K21" s="41" t="str">
        <x:v>Unsupported reduction — evidence ID absent</x:v>
      </x:c>
      <x:c r="L21" s="41" t="str">
        <x:v>No linked operating-evidence record</x:v>
      </x:c>
      <x:c r="M21" s="41" t="str">
        <x:v>Do not use lower score to relax gate; obtain evidence and reassess. Use inherent risk meanwhile.</x:v>
      </x:c>
      <x:c r="N21" s="41" t="str">
        <x:v>Restricted pilot only</x:v>
      </x:c>
      <x:c r="O21" s="41" t="str">
        <x:v>Open</x:v>
      </x:c>
      <x:c r="P21" s="41" t="str">
        <x:v>e734ea64d6a9e5db35b59c4855e832aa433b43ad</x:v>
      </x:c>
    </x:row>
    <x:row r="22">
      <x:c r="A22" s="41" t="str">
        <x:v>AI-006-R03</x:v>
      </x:c>
      <x:c r="B22" s="41" t="str">
        <x:v>AI-006</x:v>
      </x:c>
      <x:c r="C22" s="41" t="str">
        <x:v>PondGPT</x:v>
      </x:c>
      <x:c r="D22" s="41" t="str">
        <x:v>Reliability &amp; robustness</x:v>
      </x:c>
      <x:c r="E22" s="44" t="n">
        <x:v>12</x:v>
      </x:c>
      <x:c r="F22" s="44" t="n">
        <x:v>12</x:v>
      </x:c>
      <x:c r="G22" s="44" t="n">
        <x:f>E22-F22</x:f>
        <x:v>0</x:v>
      </x:c>
      <x:c r="H22" s="41" t="str">
        <x:v>Severity 4 x Likelihood 3 = 12 High</x:v>
      </x:c>
      <x:c r="I22" s="41" t="str">
        <x:v>Severity 4 x Likelihood 3 = 12 High</x:v>
      </x:c>
      <x:c r="J22" s="41" t="str"/>
      <x:c r="K22" s="41" t="str">
        <x:v>No reduction claimed</x:v>
      </x:c>
      <x:c r="L22" s="41" t="str">
        <x:v>No linked operating evidence; recorded score equals inherent risk</x:v>
      </x:c>
      <x:c r="M22" s="41" t="str">
        <x:v>Retain score and gate; do not describe as validated effectiveness.</x:v>
      </x:c>
      <x:c r="N22" s="41" t="str">
        <x:v>Restricted pilot only</x:v>
      </x:c>
      <x:c r="O22" s="41" t="str">
        <x:v>Open</x:v>
      </x:c>
      <x:c r="P22" s="41" t="str">
        <x:v>e734ea64d6a9e5db35b59c4855e832aa433b43ad</x:v>
      </x:c>
    </x:row>
    <x:row r="23">
      <x:c r="A23" s="41" t="str">
        <x:v>AI-007-R01</x:v>
      </x:c>
      <x:c r="B23" s="41" t="str">
        <x:v>AI-007</x:v>
      </x:c>
      <x:c r="C23" s="41" t="str">
        <x:v>Unregistered GenAI Usage</x:v>
      </x:c>
      <x:c r="D23" s="41" t="str">
        <x:v>Privacy &amp; data governance</x:v>
      </x:c>
      <x:c r="E23" s="44" t="n">
        <x:v>20</x:v>
      </x:c>
      <x:c r="F23" s="44" t="n">
        <x:v>20</x:v>
      </x:c>
      <x:c r="G23" s="44" t="n">
        <x:f>E23-F23</x:f>
        <x:v>0</x:v>
      </x:c>
      <x:c r="H23" s="41" t="str">
        <x:v>Severity 5 x Likelihood 4 = 20 Critical</x:v>
      </x:c>
      <x:c r="I23" s="41" t="str">
        <x:v>Severity 5 x Likelihood 4 = 20 Critical</x:v>
      </x:c>
      <x:c r="J23" s="41" t="str"/>
      <x:c r="K23" s="41" t="str">
        <x:v>No reduction claimed</x:v>
      </x:c>
      <x:c r="L23" s="41" t="str">
        <x:v>No linked operating evidence; recorded score equals inherent risk</x:v>
      </x:c>
      <x:c r="M23" s="41" t="str">
        <x:v>Retain score and gate; do not describe as validated effectiveness.</x:v>
      </x:c>
      <x:c r="N23" s="41" t="str">
        <x:v>Immediate containment and decomposition</x:v>
      </x:c>
      <x:c r="O23" s="41" t="str">
        <x:v>Open</x:v>
      </x:c>
      <x:c r="P23" s="41" t="str">
        <x:v>e734ea64d6a9e5db35b59c4855e832aa433b43ad</x:v>
      </x:c>
    </x:row>
    <x:row r="24">
      <x:c r="A24" s="41" t="str">
        <x:v>AI-007-R02</x:v>
      </x:c>
      <x:c r="B24" s="41" t="str">
        <x:v>AI-007</x:v>
      </x:c>
      <x:c r="C24" s="41" t="str">
        <x:v>Unregistered GenAI Usage</x:v>
      </x:c>
      <x:c r="D24" s="41" t="str">
        <x:v>Legal / compliance</x:v>
      </x:c>
      <x:c r="E24" s="44" t="n">
        <x:v>15</x:v>
      </x:c>
      <x:c r="F24" s="44" t="n">
        <x:v>15</x:v>
      </x:c>
      <x:c r="G24" s="44" t="n">
        <x:f>E24-F24</x:f>
        <x:v>0</x:v>
      </x:c>
      <x:c r="H24" s="41" t="str">
        <x:v>Severity 5 x Likelihood 3 = 15 High</x:v>
      </x:c>
      <x:c r="I24" s="41" t="str">
        <x:v>Severity 5 x Likelihood 3 = 15 High</x:v>
      </x:c>
      <x:c r="J24" s="41" t="str"/>
      <x:c r="K24" s="41" t="str">
        <x:v>No reduction claimed</x:v>
      </x:c>
      <x:c r="L24" s="41" t="str">
        <x:v>No linked operating evidence; recorded score equals inherent risk</x:v>
      </x:c>
      <x:c r="M24" s="41" t="str">
        <x:v>Retain score and gate; do not describe as validated effectiveness.</x:v>
      </x:c>
      <x:c r="N24" s="41" t="str">
        <x:v>Immediate containment and decomposition</x:v>
      </x:c>
      <x:c r="O24" s="41" t="str">
        <x:v>Open</x:v>
      </x:c>
      <x:c r="P24" s="41" t="str">
        <x:v>e734ea64d6a9e5db35b59c4855e832aa433b43ad</x:v>
      </x:c>
    </x:row>
    <x:row r="25">
      <x:c r="A25" s="42" t="str">
        <x:v>AI-007-R03</x:v>
      </x:c>
      <x:c r="B25" s="42" t="str">
        <x:v>AI-007</x:v>
      </x:c>
      <x:c r="C25" s="42" t="str">
        <x:v>Unregistered GenAI Usage</x:v>
      </x:c>
      <x:c r="D25" s="42" t="str">
        <x:v>Third-party &amp; supply chain</x:v>
      </x:c>
      <x:c r="E25" s="45" t="n">
        <x:v>16</x:v>
      </x:c>
      <x:c r="F25" s="45" t="n">
        <x:v>16</x:v>
      </x:c>
      <x:c r="G25" s="45" t="n">
        <x:f>E25-F25</x:f>
        <x:v>0</x:v>
      </x:c>
      <x:c r="H25" s="42" t="str">
        <x:v>Severity 4 x Likelihood 4 = 16 High</x:v>
      </x:c>
      <x:c r="I25" s="42" t="str">
        <x:v>Severity 4 x Likelihood 4 = 16 High</x:v>
      </x:c>
      <x:c r="J25" s="42" t="str"/>
      <x:c r="K25" s="42" t="str">
        <x:v>No reduction claimed</x:v>
      </x:c>
      <x:c r="L25" s="42" t="str">
        <x:v>No linked operating evidence; recorded score equals inherent risk</x:v>
      </x:c>
      <x:c r="M25" s="42" t="str">
        <x:v>Retain score and gate; do not describe as validated effectiveness.</x:v>
      </x:c>
      <x:c r="N25" s="42" t="str">
        <x:v>Immediate containment and decomposition</x:v>
      </x:c>
      <x:c r="O25" s="42" t="str">
        <x:v>Open</x:v>
      </x:c>
      <x:c r="P25" s="42" t="str">
        <x:v>e734ea64d6a9e5db35b59c4855e832aa433b43ad</x:v>
      </x:c>
    </x:row>
  </x:sheetData>
  <x:mergeCells>
    <x:mergeCell ref="A1:P1"/>
    <x:mergeCell ref="A2:P2"/>
  </x:mergeCells>
  <x:conditionalFormatting sqref="K5:K25">
    <x:cfRule type="beginsWith" dxfId="0" priority="1" operator="beginsWith" text="Unsupported"/>
    <x:cfRule type="beginsWith" dxfId="1" priority="2" operator="beginsWith" text="Provisional"/>
    <x:cfRule type="beginsWith" dxfId="2" priority="3" operator="beginsWith" text="No reduction"/>
  </x:conditionalFormatting>
  <x:pageMargins left="0.7" right="0.7" top="0.75" bottom="0.75" header="0.3" footer="0.3"/>
  <x:tableParts count="1">
    <x:tablePart xmlns:r="http://schemas.openxmlformats.org/officeDocument/2006/relationships" r:id="R0121c5efcb3d40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31" hidden="0" customWidth="1"/>
    <x:col min="5" max="5" width="22" hidden="0" customWidth="1"/>
    <x:col min="6" max="6" width="45" hidden="0" customWidth="1"/>
    <x:col min="7" max="7" width="34" hidden="0" customWidth="1"/>
    <x:col min="8" max="8" width="28" hidden="0" customWidth="1"/>
    <x:col min="9" max="9" width="37" hidden="0" customWidth="1"/>
    <x:col min="10" max="10" width="53" hidden="0" customWidth="1"/>
    <x:col min="11" max="11" width="34" hidden="0" customWidth="1"/>
    <x:col min="12" max="12" width="51" hidden="0" customWidth="1"/>
  </x:cols>
  <x:sheetData>
    <x:row r="1" ht="30" customHeight="1">
      <x:c r="A1" s="2" t="str">
        <x:v>Control Evidence Reconciliation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5" t="str">
        <x:v>Design, implementation, operation and effectiveness are not collapsed into one status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32" customHeight="1">
      <x:c r="A4" s="32" t="str">
        <x:v>Control ID</x:v>
      </x:c>
      <x:c r="B4" s="32" t="str">
        <x:v>Control</x:v>
      </x:c>
      <x:c r="C4" s="32" t="str">
        <x:v>Type</x:v>
      </x:c>
      <x:c r="D4" s="32" t="str">
        <x:v>Owner</x:v>
      </x:c>
      <x:c r="E4" s="32" t="str">
        <x:v>Source Status</x:v>
      </x:c>
      <x:c r="F4" s="32" t="str">
        <x:v>Linked Risks</x:v>
      </x:c>
      <x:c r="G4" s="32" t="str">
        <x:v>Available Evidence IDs</x:v>
      </x:c>
      <x:c r="H4" s="32" t="str">
        <x:v>Missing Evidence IDs</x:v>
      </x:c>
      <x:c r="I4" s="32" t="str">
        <x:v>Strongest Evidence State</x:v>
      </x:c>
      <x:c r="J4" s="32" t="str">
        <x:v>Reconciled Status</x:v>
      </x:c>
      <x:c r="K4" s="32" t="str">
        <x:v>Current Risk Credit</x:v>
      </x:c>
      <x:c r="L4" s="32" t="str">
        <x:v>Next Evidence Required</x:v>
      </x:c>
    </x:row>
    <x:row r="5">
      <x:c r="A5" s="40" t="str">
        <x:v>AI-GOV-01</x:v>
      </x:c>
      <x:c r="B5" s="40" t="str">
        <x:v>Risk-Based Lifecycle Gate</x:v>
      </x:c>
      <x:c r="C5" s="40" t="str">
        <x:v>Preventive</x:v>
      </x:c>
      <x:c r="D5" s="40" t="str">
        <x:v>Eleanor Duckford - AI Governance Lead</x:v>
      </x:c>
      <x:c r="E5" s="40" t="str">
        <x:v>Partially implemented</x:v>
      </x:c>
      <x:c r="F5" s="40" t="str">
        <x:v>AI-001-R01; AI-002-R01; AI-002-R03; AI-004-R01; AI-005-R01; AI-005-R02; AI-007-R02</x:v>
      </x:c>
      <x:c r="G5" s="40" t="str">
        <x:v>EV-AI005-009; EV-AI005-014</x:v>
      </x:c>
      <x:c r="H5" s="40" t="str"/>
      <x:c r="I5" s="40" t="str">
        <x:v>Synthetic lifecycle decision demonstrated</x:v>
      </x:c>
      <x:c r="J5" s="40" t="str">
        <x:v>Synthetic implementation/operation demonstrated; production effectiveness unverified</x:v>
      </x:c>
      <x:c r="K5" s="40" t="str">
        <x:v>No production risk-reduction credit</x:v>
      </x:c>
      <x:c r="L5" s="40" t="str">
        <x:v>Add version-bound production operating and outcome evidence.</x:v>
      </x:c>
    </x:row>
    <x:row r="6">
      <x:c r="A6" s="41" t="str">
        <x:v>AI-GOV-02</x:v>
      </x:c>
      <x:c r="B6" s="41" t="str">
        <x:v>Material Change &amp; Reassessment Trigger</x:v>
      </x:c>
      <x:c r="C6" s="41" t="str">
        <x:v>Preventive</x:v>
      </x:c>
      <x:c r="D6" s="41" t="str">
        <x:v>Eleanor Duckford - AI Governance Lead</x:v>
      </x:c>
      <x:c r="E6" s="41" t="str">
        <x:v>Partially implemented</x:v>
      </x:c>
      <x:c r="F6" s="41" t="str">
        <x:v>AI-001-R01; AI-001-R02; AI-001-R03; AI-003-R02; AI-004-R03</x:v>
      </x:c>
      <x:c r="G6" s="41" t="str">
        <x:v>EV-AI005-010; EV-AI005-011; EV-AI005-012; EV-AI005-013; EV-AI005-014</x:v>
      </x:c>
      <x:c r="H6" s="41" t="str"/>
      <x:c r="I6" s="41" t="str">
        <x:v>Synthetic reassessment trigger demonstrated</x:v>
      </x:c>
      <x:c r="J6" s="41" t="str">
        <x:v>Synthetic implementation/operation demonstrated; production effectiveness unverified</x:v>
      </x:c>
      <x:c r="K6" s="41" t="str">
        <x:v>No production risk-reduction credit</x:v>
      </x:c>
      <x:c r="L6" s="41" t="str">
        <x:v>Add version-bound production operating and outcome evidence.</x:v>
      </x:c>
    </x:row>
    <x:row r="7">
      <x:c r="A7" s="41" t="str">
        <x:v>AI-GOV-03</x:v>
      </x:c>
      <x:c r="B7" s="41" t="str">
        <x:v>Control Evidence Index</x:v>
      </x:c>
      <x:c r="C7" s="41" t="str">
        <x:v>Detective</x:v>
      </x:c>
      <x:c r="D7" s="41" t="str">
        <x:v>Eleanor Duckford - AI Governance Lead</x:v>
      </x:c>
      <x:c r="E7" s="41" t="str">
        <x:v>Planned</x:v>
      </x:c>
      <x:c r="F7" s="41" t="str"/>
      <x:c r="G7" s="41" t="str"/>
      <x:c r="H7" s="41" t="str"/>
      <x:c r="I7" s="41" t="str">
        <x:v>No linked evidence ID</x:v>
      </x:c>
      <x:c r="J7" s="41" t="str">
        <x:v>Implemented at portfolio-document level; maintenance operation untested</x:v>
      </x:c>
      <x:c r="K7" s="41" t="str">
        <x:v>Design/document implementation only</x:v>
      </x:c>
      <x:c r="L7" s="41" t="str">
        <x:v>Assign maintenance cadence, owner review and change evidence.</x:v>
      </x:c>
    </x:row>
    <x:row r="8">
      <x:c r="A8" s="41" t="str">
        <x:v>AI-INC-01</x:v>
      </x:c>
      <x:c r="B8" s="41" t="str">
        <x:v>AI Incident, Containment &amp; Stop-Use</x:v>
      </x:c>
      <x:c r="C8" s="41" t="str">
        <x:v>Corrective</x:v>
      </x:c>
      <x:c r="D8" s="41" t="str">
        <x:v>Cassandra Duckley - Chief Information Security Officer</x:v>
      </x:c>
      <x:c r="E8" s="41" t="str">
        <x:v>Partially implemented</x:v>
      </x:c>
      <x:c r="F8" s="41" t="str">
        <x:v>AI-001-R01; AI-001-R02; AI-002-R02; AI-003-R03; AI-004-R01; AI-005-R03; AI-006-R01; AI-006-R02; AI-007-R01</x:v>
      </x:c>
      <x:c r="G8" s="41" t="str"/>
      <x:c r="H8" s="41" t="str"/>
      <x:c r="I8" s="41" t="str">
        <x:v>No linked evidence ID</x:v>
      </x:c>
      <x:c r="J8" s="41" t="str">
        <x:v>Design/status assertion — evidence ID absent</x:v>
      </x:c>
      <x:c r="K8" s="41" t="str">
        <x:v>No additional credit</x:v>
      </x:c>
      <x:c r="L8" s="41" t="str">
        <x:v>Provide implementation and operating evidence with stable ID.</x:v>
      </x:c>
    </x:row>
    <x:row r="9">
      <x:c r="A9" s="41" t="str">
        <x:v>AI-TPR-01</x:v>
      </x:c>
      <x:c r="B9" s="41" t="str">
        <x:v>AI Supplier Due Diligence &amp; Contract Controls</x:v>
      </x:c>
      <x:c r="C9" s="41" t="str">
        <x:v>Preventive</x:v>
      </x:c>
      <x:c r="D9" s="41" t="str">
        <x:v>Percival Duckworth - Director Procurement &amp; Vendor Assurance</x:v>
      </x:c>
      <x:c r="E9" s="41" t="str">
        <x:v>Partially implemented</x:v>
      </x:c>
      <x:c r="F9" s="41" t="str">
        <x:v>AI-001-R02; AI-002-R02; AI-005-R01; AI-005-R03; AI-006-R01; AI-007-R03</x:v>
      </x:c>
      <x:c r="G9" s="41" t="str"/>
      <x:c r="H9" s="41" t="str"/>
      <x:c r="I9" s="41" t="str">
        <x:v>No linked evidence ID</x:v>
      </x:c>
      <x:c r="J9" s="41" t="str">
        <x:v>Design/status assertion — evidence ID absent</x:v>
      </x:c>
      <x:c r="K9" s="41" t="str">
        <x:v>No additional credit</x:v>
      </x:c>
      <x:c r="L9" s="41" t="str">
        <x:v>Provide implementation and operating evidence with stable ID.</x:v>
      </x:c>
    </x:row>
    <x:row r="10">
      <x:c r="A10" s="41" t="str">
        <x:v>DD-01</x:v>
      </x:c>
      <x:c r="B10" s="41" t="str">
        <x:v>Competent Engineer Approval</x:v>
      </x:c>
      <x:c r="C10" s="41" t="str">
        <x:v>Preventive</x:v>
      </x:c>
      <x:c r="D10" s="41" t="str">
        <x:v>Felix Duckson - VP Product &amp; Engineering</x:v>
      </x:c>
      <x:c r="E10" s="41" t="str">
        <x:v>Implemented</x:v>
      </x:c>
      <x:c r="F10" s="41" t="str">
        <x:v>AI-001-R01; AI-001-R03</x:v>
      </x:c>
      <x:c r="G10" s="41" t="str"/>
      <x:c r="H10" s="41" t="str"/>
      <x:c r="I10" s="41" t="str">
        <x:v>No linked evidence ID</x:v>
      </x:c>
      <x:c r="J10" s="41" t="str">
        <x:v>Unsupported implementation assertion — evidence ID absent</x:v>
      </x:c>
      <x:c r="K10" s="41" t="str">
        <x:v>No additional credit until evidence is inspected</x:v>
      </x:c>
      <x:c r="L10" s="41" t="str">
        <x:v>Provide execution records, population/period, exceptions and review.</x:v>
      </x:c>
    </x:row>
    <x:row r="11">
      <x:c r="A11" s="41" t="str">
        <x:v>DD-02</x:v>
      </x:c>
      <x:c r="B11" s="41" t="str">
        <x:v>Independent Safety Validation Gate</x:v>
      </x:c>
      <x:c r="C11" s="41" t="str">
        <x:v>Preventive</x:v>
      </x:c>
      <x:c r="D11" s="41" t="str">
        <x:v>Quentin Duckwell - Director Product Safety &amp; Quality</x:v>
      </x:c>
      <x:c r="E11" s="41" t="str">
        <x:v>Planned</x:v>
      </x:c>
      <x:c r="F11" s="41" t="str">
        <x:v>AI-001-R01</x:v>
      </x:c>
      <x:c r="G11" s="41" t="str"/>
      <x:c r="H11" s="41" t="str"/>
      <x:c r="I11" s="41" t="str">
        <x:v>No linked evidence ID</x:v>
      </x:c>
      <x:c r="J11" s="41" t="str">
        <x:v>Planned</x:v>
      </x:c>
      <x:c r="K11" s="41" t="str">
        <x:v>No current credit</x:v>
      </x:c>
      <x:c r="L11" s="41" t="str">
        <x:v>Implement, assign evidence ID, operate and test.</x:v>
      </x:c>
    </x:row>
    <x:row r="12">
      <x:c r="A12" s="41" t="str">
        <x:v>DD-03</x:v>
      </x:c>
      <x:c r="B12" s="41" t="str">
        <x:v>Engineering Benchmark &amp; Regression Suite</x:v>
      </x:c>
      <x:c r="C12" s="41" t="str">
        <x:v>Detective</x:v>
      </x:c>
      <x:c r="D12" s="41" t="str">
        <x:v>Dr. Ada Duckfield - Head of Data &amp; AI</x:v>
      </x:c>
      <x:c r="E12" s="41" t="str">
        <x:v>Planned</x:v>
      </x:c>
      <x:c r="F12" s="41" t="str">
        <x:v>AI-001-R01; AI-001-R03</x:v>
      </x:c>
      <x:c r="G12" s="41" t="str"/>
      <x:c r="H12" s="41" t="str"/>
      <x:c r="I12" s="41" t="str">
        <x:v>No linked evidence ID</x:v>
      </x:c>
      <x:c r="J12" s="41" t="str">
        <x:v>Planned</x:v>
      </x:c>
      <x:c r="K12" s="41" t="str">
        <x:v>No current credit</x:v>
      </x:c>
      <x:c r="L12" s="41" t="str">
        <x:v>Implement, assign evidence ID, operate and test.</x:v>
      </x:c>
    </x:row>
    <x:row r="13">
      <x:c r="A13" s="41" t="str">
        <x:v>DD-04</x:v>
      </x:c>
      <x:c r="B13" s="41" t="str">
        <x:v>Engineering Data Boundary &amp; DLP</x:v>
      </x:c>
      <x:c r="C13" s="41" t="str">
        <x:v>Preventive</x:v>
      </x:c>
      <x:c r="D13" s="41" t="str">
        <x:v>Cassandra Duckley - Chief Information Security Officer</x:v>
      </x:c>
      <x:c r="E13" s="41" t="str">
        <x:v>Partially implemented</x:v>
      </x:c>
      <x:c r="F13" s="41" t="str">
        <x:v>AI-001-R02</x:v>
      </x:c>
      <x:c r="G13" s="41" t="str"/>
      <x:c r="H13" s="41" t="str"/>
      <x:c r="I13" s="41" t="str">
        <x:v>No linked evidence ID</x:v>
      </x:c>
      <x:c r="J13" s="41" t="str">
        <x:v>Design/status assertion — evidence ID absent</x:v>
      </x:c>
      <x:c r="K13" s="41" t="str">
        <x:v>No additional credit</x:v>
      </x:c>
      <x:c r="L13" s="41" t="str">
        <x:v>Provide implementation and operating evidence with stable ID.</x:v>
      </x:c>
    </x:row>
    <x:row r="14">
      <x:c r="A14" s="41" t="str">
        <x:v>DD-05</x:v>
      </x:c>
      <x:c r="B14" s="41" t="str">
        <x:v>Design/Model Version Traceability</x:v>
      </x:c>
      <x:c r="C14" s="41" t="str">
        <x:v>Preventive</x:v>
      </x:c>
      <x:c r="D14" s="41" t="str">
        <x:v>Dr. Ada Duckfield - Head of Data &amp; AI</x:v>
      </x:c>
      <x:c r="E14" s="41" t="str">
        <x:v>Partially implemented</x:v>
      </x:c>
      <x:c r="F14" s="41" t="str">
        <x:v>AI-001-R01; AI-001-R03</x:v>
      </x:c>
      <x:c r="G14" s="41" t="str"/>
      <x:c r="H14" s="41" t="str"/>
      <x:c r="I14" s="41" t="str">
        <x:v>No linked evidence ID</x:v>
      </x:c>
      <x:c r="J14" s="41" t="str">
        <x:v>Design/status assertion — evidence ID absent</x:v>
      </x:c>
      <x:c r="K14" s="41" t="str">
        <x:v>No additional credit</x:v>
      </x:c>
      <x:c r="L14" s="41" t="str">
        <x:v>Provide implementation and operating evidence with stable ID.</x:v>
      </x:c>
    </x:row>
    <x:row r="15">
      <x:c r="A15" s="41" t="str">
        <x:v>DT-01</x:v>
      </x:c>
      <x:c r="B15" s="41" t="str">
        <x:v>Job-Relevance Criteria &amp; Proxy Feature Governance</x:v>
      </x:c>
      <x:c r="C15" s="41" t="str">
        <x:v>Preventive</x:v>
      </x:c>
      <x:c r="D15" s="41" t="str">
        <x:v>Beatrice Van Duck - Chief People Officer</x:v>
      </x:c>
      <x:c r="E15" s="41" t="str">
        <x:v>Not implemented</x:v>
      </x:c>
      <x:c r="F15" s="41" t="str">
        <x:v>AI-005-R01</x:v>
      </x:c>
      <x:c r="G15" s="41" t="str">
        <x:v>EV-AI005-001; EV-AI005-002; EV-AI005-009; EV-AI005-011; EV-AI005-012</x:v>
      </x:c>
      <x:c r="H15" s="41" t="str">
        <x:v>EV-AI005-007</x:v>
      </x:c>
      <x:c r="I15" s="41" t="str">
        <x:v>Synthetic lifecycle decision demonstrated</x:v>
      </x:c>
      <x:c r="J15" s="41" t="str">
        <x:v>Not implemented; related synthetic evidence does not establish implementation</x:v>
      </x:c>
      <x:c r="K15" s="41" t="str">
        <x:v>No current credit</x:v>
      </x:c>
      <x:c r="L15" s="41" t="str">
        <x:v>Implement, assign evidence ID, operate and test.</x:v>
      </x:c>
    </x:row>
    <x:row r="16">
      <x:c r="A16" s="41" t="str">
        <x:v>DT-02</x:v>
      </x:c>
      <x:c r="B16" s="41" t="str">
        <x:v>Pre-Deployment Fairness &amp; Adverse-Impact Testing</x:v>
      </x:c>
      <x:c r="C16" s="41" t="str">
        <x:v>Detective</x:v>
      </x:c>
      <x:c r="D16" s="41" t="str">
        <x:v>Beatrice Van Duck - Chief People Officer</x:v>
      </x:c>
      <x:c r="E16" s="41" t="str">
        <x:v>Partially implemented</x:v>
      </x:c>
      <x:c r="F16" s="41" t="str">
        <x:v>AI-005-R01</x:v>
      </x:c>
      <x:c r="G16" s="41" t="str">
        <x:v>EV-AI005-001; EV-AI005-002; EV-AI005-003; EV-AI005-004; EV-AI005-005; EV-AI005-006; EV-AI005-009; EV-AI005-011; EV-AI005-012</x:v>
      </x:c>
      <x:c r="H16" s="41" t="str">
        <x:v>EV-AI005-007; EV-AI005-008</x:v>
      </x:c>
      <x:c r="I16" s="41" t="str">
        <x:v>Synthetic lifecycle decision demonstrated</x:v>
      </x:c>
      <x:c r="J16" s="41" t="str">
        <x:v>Synthetic implementation/operation demonstrated; production effectiveness unverified</x:v>
      </x:c>
      <x:c r="K16" s="41" t="str">
        <x:v>No production risk-reduction credit</x:v>
      </x:c>
      <x:c r="L16" s="41" t="str">
        <x:v>Add version-bound production operating and outcome evidence.</x:v>
      </x:c>
    </x:row>
    <x:row r="17">
      <x:c r="A17" s="41" t="str">
        <x:v>DT-03</x:v>
      </x:c>
      <x:c r="B17" s="41" t="str">
        <x:v>Meaningful Human Review &amp; No Automated Rejection</x:v>
      </x:c>
      <x:c r="C17" s="41" t="str">
        <x:v>Preventive</x:v>
      </x:c>
      <x:c r="D17" s="41" t="str">
        <x:v>Beatrice Van Duck - Chief People Officer</x:v>
      </x:c>
      <x:c r="E17" s="41" t="str">
        <x:v>Not implemented</x:v>
      </x:c>
      <x:c r="F17" s="41" t="str">
        <x:v>AI-005-R02</x:v>
      </x:c>
      <x:c r="G17" s="41" t="str"/>
      <x:c r="H17" s="41" t="str"/>
      <x:c r="I17" s="41" t="str">
        <x:v>No linked evidence ID</x:v>
      </x:c>
      <x:c r="J17" s="41" t="str">
        <x:v>Not implemented</x:v>
      </x:c>
      <x:c r="K17" s="41" t="str">
        <x:v>No current credit</x:v>
      </x:c>
      <x:c r="L17" s="41" t="str">
        <x:v>Implement, assign evidence ID, operate and test.</x:v>
      </x:c>
    </x:row>
    <x:row r="18">
      <x:c r="A18" s="41" t="str">
        <x:v>DT-04</x:v>
      </x:c>
      <x:c r="B18" s="41" t="str">
        <x:v>Reviewer Rationale, Training &amp; Override Monitoring</x:v>
      </x:c>
      <x:c r="C18" s="41" t="str">
        <x:v>Preventive</x:v>
      </x:c>
      <x:c r="D18" s="41" t="str">
        <x:v>Beatrice Van Duck - Chief People Officer</x:v>
      </x:c>
      <x:c r="E18" s="41" t="str">
        <x:v>Not implemented</x:v>
      </x:c>
      <x:c r="F18" s="41" t="str">
        <x:v>AI-005-R02</x:v>
      </x:c>
      <x:c r="G18" s="41" t="str"/>
      <x:c r="H18" s="41" t="str"/>
      <x:c r="I18" s="41" t="str">
        <x:v>No linked evidence ID</x:v>
      </x:c>
      <x:c r="J18" s="41" t="str">
        <x:v>Not implemented</x:v>
      </x:c>
      <x:c r="K18" s="41" t="str">
        <x:v>No current credit</x:v>
      </x:c>
      <x:c r="L18" s="41" t="str">
        <x:v>Implement, assign evidence ID, operate and test.</x:v>
      </x:c>
    </x:row>
    <x:row r="19">
      <x:c r="A19" s="41" t="str">
        <x:v>DT-05</x:v>
      </x:c>
      <x:c r="B19" s="41" t="str">
        <x:v>Applicant Data Minimization, Field Exclusion &amp; Retention</x:v>
      </x:c>
      <x:c r="C19" s="41" t="str">
        <x:v>Preventive</x:v>
      </x:c>
      <x:c r="D19" s="41" t="str">
        <x:v>Beatrice Van Duck - Chief People Officer</x:v>
      </x:c>
      <x:c r="E19" s="41" t="str">
        <x:v>Not implemented</x:v>
      </x:c>
      <x:c r="F19" s="41" t="str">
        <x:v>AI-005-R03</x:v>
      </x:c>
      <x:c r="G19" s="41" t="str"/>
      <x:c r="H19" s="41" t="str"/>
      <x:c r="I19" s="41" t="str">
        <x:v>No linked evidence ID</x:v>
      </x:c>
      <x:c r="J19" s="41" t="str">
        <x:v>Not implemented</x:v>
      </x:c>
      <x:c r="K19" s="41" t="str">
        <x:v>No current credit</x:v>
      </x:c>
      <x:c r="L19" s="41" t="str">
        <x:v>Implement, assign evidence ID, operate and test.</x:v>
      </x:c>
    </x:row>
    <x:row r="20">
      <x:c r="A20" s="41" t="str">
        <x:v>DT-06</x:v>
      </x:c>
      <x:c r="B20" s="41" t="str">
        <x:v>Impact, Privacy &amp; Legal Review Gate</x:v>
      </x:c>
      <x:c r="C20" s="41" t="str">
        <x:v>Preventive</x:v>
      </x:c>
      <x:c r="D20" s="41" t="str">
        <x:v>Eleanor Duckford - AI Governance Lead</x:v>
      </x:c>
      <x:c r="E20" s="41" t="str">
        <x:v>Not implemented</x:v>
      </x:c>
      <x:c r="F20" s="41" t="str">
        <x:v>AI-005-R03</x:v>
      </x:c>
      <x:c r="G20" s="41" t="str"/>
      <x:c r="H20" s="41" t="str"/>
      <x:c r="I20" s="41" t="str">
        <x:v>No linked evidence ID</x:v>
      </x:c>
      <x:c r="J20" s="41" t="str">
        <x:v>Not implemented</x:v>
      </x:c>
      <x:c r="K20" s="41" t="str">
        <x:v>No current credit</x:v>
      </x:c>
      <x:c r="L20" s="41" t="str">
        <x:v>Implement, assign evidence ID, operate and test.</x:v>
      </x:c>
    </x:row>
    <x:row r="21">
      <x:c r="A21" s="41" t="str">
        <x:v>DT-07</x:v>
      </x:c>
      <x:c r="B21" s="41" t="str">
        <x:v>Candidate Notice, Challenge &amp; Human Remedy</x:v>
      </x:c>
      <x:c r="C21" s="41" t="str">
        <x:v>Corrective</x:v>
      </x:c>
      <x:c r="D21" s="41" t="str">
        <x:v>Beatrice Van Duck - Chief People Officer</x:v>
      </x:c>
      <x:c r="E21" s="41" t="str">
        <x:v>Not implemented</x:v>
      </x:c>
      <x:c r="F21" s="41" t="str">
        <x:v>AI-005-R01; AI-005-R02</x:v>
      </x:c>
      <x:c r="G21" s="41" t="str"/>
      <x:c r="H21" s="41" t="str">
        <x:v>EV-AI005-008</x:v>
      </x:c>
      <x:c r="I21" s="41" t="str">
        <x:v>No linked evidence ID</x:v>
      </x:c>
      <x:c r="J21" s="41" t="str">
        <x:v>Not implemented</x:v>
      </x:c>
      <x:c r="K21" s="41" t="str">
        <x:v>No current credit</x:v>
      </x:c>
      <x:c r="L21" s="41" t="str">
        <x:v>Implement, assign evidence ID, operate and test.</x:v>
      </x:c>
    </x:row>
    <x:row r="22">
      <x:c r="A22" s="41" t="str">
        <x:v>FF-01</x:v>
      </x:c>
      <x:c r="B22" s="41" t="str">
        <x:v>Human Planning Approval &amp; Override</x:v>
      </x:c>
      <x:c r="C22" s="41" t="str">
        <x:v>Preventive</x:v>
      </x:c>
      <x:c r="D22" s="41" t="str">
        <x:v>Tobias Duckman - Director Supply Chain</x:v>
      </x:c>
      <x:c r="E22" s="41" t="str">
        <x:v>Implemented</x:v>
      </x:c>
      <x:c r="F22" s="41" t="str">
        <x:v>AI-003-R01</x:v>
      </x:c>
      <x:c r="G22" s="41" t="str"/>
      <x:c r="H22" s="41" t="str"/>
      <x:c r="I22" s="41" t="str">
        <x:v>No linked evidence ID</x:v>
      </x:c>
      <x:c r="J22" s="41" t="str">
        <x:v>Unsupported implementation assertion — evidence ID absent</x:v>
      </x:c>
      <x:c r="K22" s="41" t="str">
        <x:v>No additional credit until evidence is inspected</x:v>
      </x:c>
      <x:c r="L22" s="41" t="str">
        <x:v>Provide execution records, population/period, exceptions and review.</x:v>
      </x:c>
    </x:row>
    <x:row r="23">
      <x:c r="A23" s="41" t="str">
        <x:v>FF-02</x:v>
      </x:c>
      <x:c r="B23" s="41" t="str">
        <x:v>Back-Testing, Stress Testing &amp; Challenger Review</x:v>
      </x:c>
      <x:c r="C23" s="41" t="str">
        <x:v>Detective</x:v>
      </x:c>
      <x:c r="D23" s="41" t="str">
        <x:v>Dr. Ada Duckfield - Head of Data &amp; AI</x:v>
      </x:c>
      <x:c r="E23" s="41" t="str">
        <x:v>Partially implemented</x:v>
      </x:c>
      <x:c r="F23" s="41" t="str">
        <x:v>AI-003-R01; AI-003-R02</x:v>
      </x:c>
      <x:c r="G23" s="41" t="str"/>
      <x:c r="H23" s="41" t="str"/>
      <x:c r="I23" s="41" t="str">
        <x:v>No linked evidence ID</x:v>
      </x:c>
      <x:c r="J23" s="41" t="str">
        <x:v>Design/status assertion — evidence ID absent</x:v>
      </x:c>
      <x:c r="K23" s="41" t="str">
        <x:v>No additional credit</x:v>
      </x:c>
      <x:c r="L23" s="41" t="str">
        <x:v>Provide implementation and operating evidence with stable ID.</x:v>
      </x:c>
    </x:row>
    <x:row r="24">
      <x:c r="A24" s="41" t="str">
        <x:v>FF-03</x:v>
      </x:c>
      <x:c r="B24" s="41" t="str">
        <x:v>Automated Drift Alerts &amp; Retraining Trigger</x:v>
      </x:c>
      <x:c r="C24" s="41" t="str">
        <x:v>Detective</x:v>
      </x:c>
      <x:c r="D24" s="41" t="str">
        <x:v>Dr. Ada Duckfield - Head of Data &amp; AI</x:v>
      </x:c>
      <x:c r="E24" s="41" t="str">
        <x:v>Planned</x:v>
      </x:c>
      <x:c r="F24" s="41" t="str">
        <x:v>AI-003-R02</x:v>
      </x:c>
      <x:c r="G24" s="41" t="str"/>
      <x:c r="H24" s="41" t="str"/>
      <x:c r="I24" s="41" t="str">
        <x:v>No linked evidence ID</x:v>
      </x:c>
      <x:c r="J24" s="41" t="str">
        <x:v>Planned</x:v>
      </x:c>
      <x:c r="K24" s="41" t="str">
        <x:v>No current credit</x:v>
      </x:c>
      <x:c r="L24" s="41" t="str">
        <x:v>Implement, assign evidence ID, operate and test.</x:v>
      </x:c>
    </x:row>
    <x:row r="25">
      <x:c r="A25" s="41" t="str">
        <x:v>FF-04</x:v>
      </x:c>
      <x:c r="B25" s="41" t="str">
        <x:v>Supplier/Planning Data Access &amp; Logging</x:v>
      </x:c>
      <x:c r="C25" s="41" t="str">
        <x:v>Preventive</x:v>
      </x:c>
      <x:c r="D25" s="41" t="str">
        <x:v>Tobias Duckman - Director Supply Chain</x:v>
      </x:c>
      <x:c r="E25" s="41" t="str">
        <x:v>Partially implemented</x:v>
      </x:c>
      <x:c r="F25" s="41" t="str">
        <x:v>AI-003-R03</x:v>
      </x:c>
      <x:c r="G25" s="41" t="str"/>
      <x:c r="H25" s="41" t="str"/>
      <x:c r="I25" s="41" t="str">
        <x:v>No linked evidence ID</x:v>
      </x:c>
      <x:c r="J25" s="41" t="str">
        <x:v>Design/status assertion — evidence ID absent</x:v>
      </x:c>
      <x:c r="K25" s="41" t="str">
        <x:v>No additional credit</x:v>
      </x:c>
      <x:c r="L25" s="41" t="str">
        <x:v>Provide implementation and operating evidence with stable ID.</x:v>
      </x:c>
    </x:row>
    <x:row r="26">
      <x:c r="A26" s="41" t="str">
        <x:v>PG-01</x:v>
      </x:c>
      <x:c r="B26" s="41" t="str">
        <x:v>Permission-Aware Retrieval</x:v>
      </x:c>
      <x:c r="C26" s="41" t="str">
        <x:v>Preventive</x:v>
      </x:c>
      <x:c r="D26" s="41" t="str">
        <x:v>Oliver Duckett - Head of IT &amp; Cloud</x:v>
      </x:c>
      <x:c r="E26" s="41" t="str">
        <x:v>Partially implemented</x:v>
      </x:c>
      <x:c r="F26" s="41" t="str">
        <x:v>AI-006-R01</x:v>
      </x:c>
      <x:c r="G26" s="41" t="str">
        <x:v>EV-AI006-001; EV-AI006-002</x:v>
      </x:c>
      <x:c r="H26" s="41" t="str">
        <x:v>EV-AI006-007; EV-AI006-008</x:v>
      </x:c>
      <x:c r="I26" s="41" t="str">
        <x:v>Designed</x:v>
      </x:c>
      <x:c r="J26" s="41" t="str">
        <x:v>Synthetic implementation/operation demonstrated; production effectiveness unverified</x:v>
      </x:c>
      <x:c r="K26" s="41" t="str">
        <x:v>No production risk-reduction credit</x:v>
      </x:c>
      <x:c r="L26" s="41" t="str">
        <x:v>Add version-bound production operating and outcome evidence.</x:v>
      </x:c>
    </x:row>
    <x:row r="27">
      <x:c r="A27" s="41" t="str">
        <x:v>PG-02</x:v>
      </x:c>
      <x:c r="B27" s="41" t="str">
        <x:v>Automated Permission Regression &amp; DLP Tests</x:v>
      </x:c>
      <x:c r="C27" s="41" t="str">
        <x:v>Detective</x:v>
      </x:c>
      <x:c r="D27" s="41" t="str">
        <x:v>Oliver Duckett - Head of IT &amp; Cloud</x:v>
      </x:c>
      <x:c r="E27" s="41" t="str">
        <x:v>Partially implemented</x:v>
      </x:c>
      <x:c r="F27" s="41" t="str">
        <x:v>AI-006-R01</x:v>
      </x:c>
      <x:c r="G27" s="41" t="str">
        <x:v>EV-AI006-001; EV-AI006-002; EV-AI006-003; EV-AI006-004; EV-AI006-005; EV-AI006-006</x:v>
      </x:c>
      <x:c r="H27" s="41" t="str">
        <x:v>EV-AI006-007; EV-AI006-008</x:v>
      </x:c>
      <x:c r="I27" s="41" t="str">
        <x:v>Synthetic operation tested</x:v>
      </x:c>
      <x:c r="J27" s="41" t="str">
        <x:v>Synthetic implementation/operation demonstrated; production effectiveness unverified</x:v>
      </x:c>
      <x:c r="K27" s="41" t="str">
        <x:v>No production risk-reduction credit</x:v>
      </x:c>
      <x:c r="L27" s="41" t="str">
        <x:v>Add version-bound production operating and outcome evidence.</x:v>
      </x:c>
    </x:row>
    <x:row r="28">
      <x:c r="A28" s="41" t="str">
        <x:v>PG-03</x:v>
      </x:c>
      <x:c r="B28" s="41" t="str">
        <x:v>Prompt Injection &amp; RAG Poisoning Test Suite</x:v>
      </x:c>
      <x:c r="C28" s="41" t="str">
        <x:v>Detective</x:v>
      </x:c>
      <x:c r="D28" s="41" t="str">
        <x:v>Cassandra Duckley - Chief Information Security Officer</x:v>
      </x:c>
      <x:c r="E28" s="41" t="str">
        <x:v>Planned</x:v>
      </x:c>
      <x:c r="F28" s="41" t="str">
        <x:v>AI-006-R02</x:v>
      </x:c>
      <x:c r="G28" s="41" t="str"/>
      <x:c r="H28" s="41" t="str"/>
      <x:c r="I28" s="41" t="str">
        <x:v>No linked evidence ID</x:v>
      </x:c>
      <x:c r="J28" s="41" t="str">
        <x:v>Planned</x:v>
      </x:c>
      <x:c r="K28" s="41" t="str">
        <x:v>No current credit</x:v>
      </x:c>
      <x:c r="L28" s="41" t="str">
        <x:v>Implement, assign evidence ID, operate and test.</x:v>
      </x:c>
    </x:row>
    <x:row r="29">
      <x:c r="A29" s="41" t="str">
        <x:v>PG-04</x:v>
      </x:c>
      <x:c r="B29" s="41" t="str">
        <x:v>Tool Sandboxing &amp; Allowlisted Actions</x:v>
      </x:c>
      <x:c r="C29" s="41" t="str">
        <x:v>Preventive</x:v>
      </x:c>
      <x:c r="D29" s="41" t="str">
        <x:v>Oliver Duckett - Head of IT &amp; Cloud</x:v>
      </x:c>
      <x:c r="E29" s="41" t="str">
        <x:v>Partially implemented</x:v>
      </x:c>
      <x:c r="F29" s="41" t="str">
        <x:v>AI-006-R02</x:v>
      </x:c>
      <x:c r="G29" s="41" t="str"/>
      <x:c r="H29" s="41" t="str"/>
      <x:c r="I29" s="41" t="str">
        <x:v>No linked evidence ID</x:v>
      </x:c>
      <x:c r="J29" s="41" t="str">
        <x:v>Design/status assertion — evidence ID absent</x:v>
      </x:c>
      <x:c r="K29" s="41" t="str">
        <x:v>No additional credit</x:v>
      </x:c>
      <x:c r="L29" s="41" t="str">
        <x:v>Provide implementation and operating evidence with stable ID.</x:v>
      </x:c>
    </x:row>
    <x:row r="30">
      <x:c r="A30" s="41" t="str">
        <x:v>PG-05</x:v>
      </x:c>
      <x:c r="B30" s="41" t="str">
        <x:v>GenAI Security Logging &amp; Alerting</x:v>
      </x:c>
      <x:c r="C30" s="41" t="str">
        <x:v>Detective</x:v>
      </x:c>
      <x:c r="D30" s="41" t="str">
        <x:v>Cassandra Duckley - Chief Information Security Officer</x:v>
      </x:c>
      <x:c r="E30" s="41" t="str">
        <x:v>Partially implemented</x:v>
      </x:c>
      <x:c r="F30" s="41" t="str">
        <x:v>AI-006-R01; AI-006-R02; AI-006-R03</x:v>
      </x:c>
      <x:c r="G30" s="41" t="str"/>
      <x:c r="H30" s="41" t="str"/>
      <x:c r="I30" s="41" t="str">
        <x:v>No linked evidence ID</x:v>
      </x:c>
      <x:c r="J30" s="41" t="str">
        <x:v>Design/status assertion — evidence ID absent</x:v>
      </x:c>
      <x:c r="K30" s="41" t="str">
        <x:v>No additional credit</x:v>
      </x:c>
      <x:c r="L30" s="41" t="str">
        <x:v>Provide implementation and operating evidence with stable ID.</x:v>
      </x:c>
    </x:row>
    <x:row r="31">
      <x:c r="A31" s="41" t="str">
        <x:v>PG-06</x:v>
      </x:c>
      <x:c r="B31" s="41" t="str">
        <x:v>Secure Output Verification &amp; Code Scanning</x:v>
      </x:c>
      <x:c r="C31" s="41" t="str">
        <x:v>Preventive</x:v>
      </x:c>
      <x:c r="D31" s="41" t="str">
        <x:v>Dr. Ada Duckfield - Head of Data &amp; AI</x:v>
      </x:c>
      <x:c r="E31" s="41" t="str">
        <x:v>Partially implemented</x:v>
      </x:c>
      <x:c r="F31" s="41" t="str">
        <x:v>AI-006-R03</x:v>
      </x:c>
      <x:c r="G31" s="41" t="str"/>
      <x:c r="H31" s="41" t="str"/>
      <x:c r="I31" s="41" t="str">
        <x:v>No linked evidence ID</x:v>
      </x:c>
      <x:c r="J31" s="41" t="str">
        <x:v>Design/status assertion — evidence ID absent</x:v>
      </x:c>
      <x:c r="K31" s="41" t="str">
        <x:v>No additional credit</x:v>
      </x:c>
      <x:c r="L31" s="41" t="str">
        <x:v>Provide implementation and operating evidence with stable ID.</x:v>
      </x:c>
    </x:row>
    <x:row r="32">
      <x:c r="A32" s="41" t="str">
        <x:v>QB-01</x:v>
      </x:c>
      <x:c r="B32" s="41" t="str">
        <x:v>Curated RAG Source Allowlist</x:v>
      </x:c>
      <x:c r="C32" s="41" t="str">
        <x:v>Preventive</x:v>
      </x:c>
      <x:c r="D32" s="41" t="str">
        <x:v>Clara Duckley - Director Customer Operations</x:v>
      </x:c>
      <x:c r="E32" s="41" t="str">
        <x:v>Partially implemented</x:v>
      </x:c>
      <x:c r="F32" s="41" t="str">
        <x:v>AI-002-R01; AI-002-R03</x:v>
      </x:c>
      <x:c r="G32" s="41" t="str"/>
      <x:c r="H32" s="41" t="str"/>
      <x:c r="I32" s="41" t="str">
        <x:v>No linked evidence ID</x:v>
      </x:c>
      <x:c r="J32" s="41" t="str">
        <x:v>Design/status assertion — evidence ID absent</x:v>
      </x:c>
      <x:c r="K32" s="41" t="str">
        <x:v>No additional credit</x:v>
      </x:c>
      <x:c r="L32" s="41" t="str">
        <x:v>Provide implementation and operating evidence with stable ID.</x:v>
      </x:c>
    </x:row>
    <x:row r="33">
      <x:c r="A33" s="41" t="str">
        <x:v>QB-02</x:v>
      </x:c>
      <x:c r="B33" s="41" t="str">
        <x:v>Grounding, Citation &amp; Abstention Rules</x:v>
      </x:c>
      <x:c r="C33" s="41" t="str">
        <x:v>Preventive</x:v>
      </x:c>
      <x:c r="D33" s="41" t="str">
        <x:v>Dr. Ada Duckfield - Head of Data &amp; AI</x:v>
      </x:c>
      <x:c r="E33" s="41" t="str">
        <x:v>Planned</x:v>
      </x:c>
      <x:c r="F33" s="41" t="str">
        <x:v>AI-002-R01; AI-002-R03</x:v>
      </x:c>
      <x:c r="G33" s="41" t="str"/>
      <x:c r="H33" s="41" t="str"/>
      <x:c r="I33" s="41" t="str">
        <x:v>No linked evidence ID</x:v>
      </x:c>
      <x:c r="J33" s="41" t="str">
        <x:v>Planned</x:v>
      </x:c>
      <x:c r="K33" s="41" t="str">
        <x:v>No current credit</x:v>
      </x:c>
      <x:c r="L33" s="41" t="str">
        <x:v>Implement, assign evidence ID, operate and test.</x:v>
      </x:c>
    </x:row>
    <x:row r="34">
      <x:c r="A34" s="41" t="str">
        <x:v>QB-03</x:v>
      </x:c>
      <x:c r="B34" s="41" t="str">
        <x:v>Human Escalation SLA</x:v>
      </x:c>
      <x:c r="C34" s="41" t="str">
        <x:v>Corrective</x:v>
      </x:c>
      <x:c r="D34" s="41" t="str">
        <x:v>Clara Duckley - Director Customer Operations</x:v>
      </x:c>
      <x:c r="E34" s="41" t="str">
        <x:v>Partially implemented</x:v>
      </x:c>
      <x:c r="F34" s="41" t="str">
        <x:v>AI-002-R01; AI-002-R03</x:v>
      </x:c>
      <x:c r="G34" s="41" t="str"/>
      <x:c r="H34" s="41" t="str"/>
      <x:c r="I34" s="41" t="str">
        <x:v>No linked evidence ID</x:v>
      </x:c>
      <x:c r="J34" s="41" t="str">
        <x:v>Design/status assertion — evidence ID absent</x:v>
      </x:c>
      <x:c r="K34" s="41" t="str">
        <x:v>No additional credit</x:v>
      </x:c>
      <x:c r="L34" s="41" t="str">
        <x:v>Provide implementation and operating evidence with stable ID.</x:v>
      </x:c>
    </x:row>
    <x:row r="35">
      <x:c r="A35" s="41" t="str">
        <x:v>QB-04</x:v>
      </x:c>
      <x:c r="B35" s="41" t="str">
        <x:v>Prompt Injection &amp; RAG Adversarial Testing</x:v>
      </x:c>
      <x:c r="C35" s="41" t="str">
        <x:v>Detective</x:v>
      </x:c>
      <x:c r="D35" s="41" t="str">
        <x:v>Cassandra Duckley - Chief Information Security Officer</x:v>
      </x:c>
      <x:c r="E35" s="41" t="str">
        <x:v>Planned</x:v>
      </x:c>
      <x:c r="F35" s="41" t="str">
        <x:v>AI-002-R02</x:v>
      </x:c>
      <x:c r="G35" s="41" t="str"/>
      <x:c r="H35" s="41" t="str"/>
      <x:c r="I35" s="41" t="str">
        <x:v>No linked evidence ID</x:v>
      </x:c>
      <x:c r="J35" s="41" t="str">
        <x:v>Planned</x:v>
      </x:c>
      <x:c r="K35" s="41" t="str">
        <x:v>No current credit</x:v>
      </x:c>
      <x:c r="L35" s="41" t="str">
        <x:v>Implement, assign evidence ID, operate and test.</x:v>
      </x:c>
    </x:row>
    <x:row r="36">
      <x:c r="A36" s="41" t="str">
        <x:v>QB-05</x:v>
      </x:c>
      <x:c r="B36" s="41" t="str">
        <x:v>Least-Privilege Retrieval &amp; Tool Boundaries</x:v>
      </x:c>
      <x:c r="C36" s="41" t="str">
        <x:v>Preventive</x:v>
      </x:c>
      <x:c r="D36" s="41" t="str">
        <x:v>Cassandra Duckley - Chief Information Security Officer</x:v>
      </x:c>
      <x:c r="E36" s="41" t="str">
        <x:v>Partially implemented</x:v>
      </x:c>
      <x:c r="F36" s="41" t="str">
        <x:v>AI-002-R02</x:v>
      </x:c>
      <x:c r="G36" s="41" t="str"/>
      <x:c r="H36" s="41" t="str"/>
      <x:c r="I36" s="41" t="str">
        <x:v>No linked evidence ID</x:v>
      </x:c>
      <x:c r="J36" s="41" t="str">
        <x:v>Design/status assertion — evidence ID absent</x:v>
      </x:c>
      <x:c r="K36" s="41" t="str">
        <x:v>No additional credit</x:v>
      </x:c>
      <x:c r="L36" s="41" t="str">
        <x:v>Provide implementation and operating evidence with stable ID.</x:v>
      </x:c>
    </x:row>
    <x:row r="37">
      <x:c r="A37" s="41" t="str">
        <x:v>QB-06</x:v>
      </x:c>
      <x:c r="B37" s="41" t="str">
        <x:v>GenAI Security &amp; Harm Monitoring</x:v>
      </x:c>
      <x:c r="C37" s="41" t="str">
        <x:v>Detective</x:v>
      </x:c>
      <x:c r="D37" s="41" t="str">
        <x:v>Cassandra Duckley - Chief Information Security Officer</x:v>
      </x:c>
      <x:c r="E37" s="41" t="str">
        <x:v>Planned</x:v>
      </x:c>
      <x:c r="F37" s="41" t="str">
        <x:v>AI-002-R01; AI-002-R02</x:v>
      </x:c>
      <x:c r="G37" s="41" t="str"/>
      <x:c r="H37" s="41" t="str"/>
      <x:c r="I37" s="41" t="str">
        <x:v>No linked evidence ID</x:v>
      </x:c>
      <x:c r="J37" s="41" t="str">
        <x:v>Planned</x:v>
      </x:c>
      <x:c r="K37" s="41" t="str">
        <x:v>No current credit</x:v>
      </x:c>
      <x:c r="L37" s="41" t="str">
        <x:v>Implement, assign evidence ID, operate and test.</x:v>
      </x:c>
    </x:row>
    <x:row r="38">
      <x:c r="A38" s="41" t="str">
        <x:v>SH-01</x:v>
      </x:c>
      <x:c r="B38" s="41" t="str">
        <x:v>AI Acceptable Use Standard</x:v>
      </x:c>
      <x:c r="C38" s="41" t="str">
        <x:v>Preventive</x:v>
      </x:c>
      <x:c r="D38" s="41" t="str">
        <x:v>Cassandra Duckley - Chief Information Security Officer</x:v>
      </x:c>
      <x:c r="E38" s="41" t="str">
        <x:v>Planned</x:v>
      </x:c>
      <x:c r="F38" s="41" t="str">
        <x:v>AI-007-R01; AI-007-R02</x:v>
      </x:c>
      <x:c r="G38" s="41" t="str"/>
      <x:c r="H38" s="41" t="str"/>
      <x:c r="I38" s="41" t="str">
        <x:v>No linked evidence ID</x:v>
      </x:c>
      <x:c r="J38" s="41" t="str">
        <x:v>Planned</x:v>
      </x:c>
      <x:c r="K38" s="41" t="str">
        <x:v>No current credit</x:v>
      </x:c>
      <x:c r="L38" s="41" t="str">
        <x:v>Implement, assign evidence ID, operate and test.</x:v>
      </x:c>
    </x:row>
    <x:row r="39">
      <x:c r="A39" s="41" t="str">
        <x:v>SH-02</x:v>
      </x:c>
      <x:c r="B39" s="41" t="str">
        <x:v>Approved AI Tool Catalogue &amp; Vendor Allowlist</x:v>
      </x:c>
      <x:c r="C39" s="41" t="str">
        <x:v>Preventive</x:v>
      </x:c>
      <x:c r="D39" s="41" t="str">
        <x:v>Percival Duckworth - Director Procurement &amp; Vendor Assurance</x:v>
      </x:c>
      <x:c r="E39" s="41" t="str">
        <x:v>Planned</x:v>
      </x:c>
      <x:c r="F39" s="41" t="str">
        <x:v>AI-007-R01; AI-007-R03</x:v>
      </x:c>
      <x:c r="G39" s="41" t="str"/>
      <x:c r="H39" s="41" t="str"/>
      <x:c r="I39" s="41" t="str">
        <x:v>No linked evidence ID</x:v>
      </x:c>
      <x:c r="J39" s="41" t="str">
        <x:v>Planned</x:v>
      </x:c>
      <x:c r="K39" s="41" t="str">
        <x:v>No current credit</x:v>
      </x:c>
      <x:c r="L39" s="41" t="str">
        <x:v>Implement, assign evidence ID, operate and test.</x:v>
      </x:c>
    </x:row>
    <x:row r="40">
      <x:c r="A40" s="41" t="str">
        <x:v>SH-03</x:v>
      </x:c>
      <x:c r="B40" s="41" t="str">
        <x:v>Shadow AI Discovery, DLP &amp; Blocking</x:v>
      </x:c>
      <x:c r="C40" s="41" t="str">
        <x:v>Detective</x:v>
      </x:c>
      <x:c r="D40" s="41" t="str">
        <x:v>Cassandra Duckley - Chief Information Security Officer</x:v>
      </x:c>
      <x:c r="E40" s="41" t="str">
        <x:v>Planned</x:v>
      </x:c>
      <x:c r="F40" s="41" t="str">
        <x:v>AI-007-R01</x:v>
      </x:c>
      <x:c r="G40" s="41" t="str"/>
      <x:c r="H40" s="41" t="str"/>
      <x:c r="I40" s="41" t="str">
        <x:v>No linked evidence ID</x:v>
      </x:c>
      <x:c r="J40" s="41" t="str">
        <x:v>Planned</x:v>
      </x:c>
      <x:c r="K40" s="41" t="str">
        <x:v>No current credit</x:v>
      </x:c>
      <x:c r="L40" s="41" t="str">
        <x:v>Implement, assign evidence ID, operate and test.</x:v>
      </x:c>
    </x:row>
    <x:row r="41">
      <x:c r="A41" s="41" t="str">
        <x:v>SH-04</x:v>
      </x:c>
      <x:c r="B41" s="41" t="str">
        <x:v>AI Browser Extension &amp; Embedded-App Control</x:v>
      </x:c>
      <x:c r="C41" s="41" t="str">
        <x:v>Preventive</x:v>
      </x:c>
      <x:c r="D41" s="41" t="str">
        <x:v>Oliver Duckett - Head of IT &amp; Cloud</x:v>
      </x:c>
      <x:c r="E41" s="41" t="str">
        <x:v>Weak / ad hoc</x:v>
      </x:c>
      <x:c r="F41" s="41" t="str">
        <x:v>AI-007-R01; AI-007-R03</x:v>
      </x:c>
      <x:c r="G41" s="41" t="str"/>
      <x:c r="H41" s="41" t="str"/>
      <x:c r="I41" s="41" t="str">
        <x:v>No linked evidence ID</x:v>
      </x:c>
      <x:c r="J41" s="41" t="str">
        <x:v>Design/status assertion — evidence ID absent</x:v>
      </x:c>
      <x:c r="K41" s="41" t="str">
        <x:v>No additional credit</x:v>
      </x:c>
      <x:c r="L41" s="41" t="str">
        <x:v>Provide implementation and operating evidence with stable ID.</x:v>
      </x:c>
    </x:row>
    <x:row r="42">
      <x:c r="A42" s="41" t="str">
        <x:v>SH-05</x:v>
      </x:c>
      <x:c r="B42" s="41" t="str">
        <x:v>Employee Attestation, Manager Accountability &amp; Mandatory Registration</x:v>
      </x:c>
      <x:c r="C42" s="41" t="str">
        <x:v>Detective</x:v>
      </x:c>
      <x:c r="D42" s="41" t="str">
        <x:v>Eleanor Duckford - AI Governance Lead</x:v>
      </x:c>
      <x:c r="E42" s="41" t="str">
        <x:v>Planned</x:v>
      </x:c>
      <x:c r="F42" s="41" t="str">
        <x:v>AI-007-R02</x:v>
      </x:c>
      <x:c r="G42" s="41" t="str"/>
      <x:c r="H42" s="41" t="str"/>
      <x:c r="I42" s="41" t="str">
        <x:v>No linked evidence ID</x:v>
      </x:c>
      <x:c r="J42" s="41" t="str">
        <x:v>Planned</x:v>
      </x:c>
      <x:c r="K42" s="41" t="str">
        <x:v>No current credit</x:v>
      </x:c>
      <x:c r="L42" s="41" t="str">
        <x:v>Implement, assign evidence ID, operate and test.</x:v>
      </x:c>
    </x:row>
    <x:row r="43">
      <x:c r="A43" s="41" t="str">
        <x:v>SH-06</x:v>
      </x:c>
      <x:c r="B43" s="41" t="str">
        <x:v>Exposure Investigation, Decomposition &amp; Remediation</x:v>
      </x:c>
      <x:c r="C43" s="41" t="str">
        <x:v>Corrective</x:v>
      </x:c>
      <x:c r="D43" s="41" t="str">
        <x:v>Eleanor Duckford - AI Governance Lead</x:v>
      </x:c>
      <x:c r="E43" s="41" t="str">
        <x:v>Planned</x:v>
      </x:c>
      <x:c r="F43" s="41" t="str">
        <x:v>AI-007-R01; AI-007-R02; AI-007-R03</x:v>
      </x:c>
      <x:c r="G43" s="41" t="str"/>
      <x:c r="H43" s="41" t="str"/>
      <x:c r="I43" s="41" t="str">
        <x:v>No linked evidence ID</x:v>
      </x:c>
      <x:c r="J43" s="41" t="str">
        <x:v>Planned</x:v>
      </x:c>
      <x:c r="K43" s="41" t="str">
        <x:v>No current credit</x:v>
      </x:c>
      <x:c r="L43" s="41" t="str">
        <x:v>Implement, assign evidence ID, operate and test.</x:v>
      </x:c>
    </x:row>
    <x:row r="44">
      <x:c r="A44" s="41" t="str">
        <x:v>WI-01</x:v>
      </x:c>
      <x:c r="B44" s="41" t="str">
        <x:v>Qualified Human Final Inspection</x:v>
      </x:c>
      <x:c r="C44" s="41" t="str">
        <x:v>Preventive</x:v>
      </x:c>
      <x:c r="D44" s="41" t="str">
        <x:v>Henrietta Duckwell - Director Manufacturing</x:v>
      </x:c>
      <x:c r="E44" s="41" t="str">
        <x:v>Partially implemented</x:v>
      </x:c>
      <x:c r="F44" s="41" t="str">
        <x:v>AI-004-R01; AI-004-R02</x:v>
      </x:c>
      <x:c r="G44" s="41" t="str">
        <x:v>EV-AI004-001; EV-AI004-002; EV-AI004-003</x:v>
      </x:c>
      <x:c r="H44" s="41" t="str">
        <x:v>EV-AI004-004; EV-AI004-005</x:v>
      </x:c>
      <x:c r="I44" s="41" t="str">
        <x:v>Synthetic operation tested</x:v>
      </x:c>
      <x:c r="J44" s="41" t="str">
        <x:v>Synthetic implementation/operation demonstrated; production effectiveness unverified</x:v>
      </x:c>
      <x:c r="K44" s="41" t="str">
        <x:v>No production risk-reduction credit</x:v>
      </x:c>
      <x:c r="L44" s="41" t="str">
        <x:v>Add version-bound production operating and outcome evidence.</x:v>
      </x:c>
    </x:row>
    <x:row r="45">
      <x:c r="A45" s="41" t="str">
        <x:v>WI-02</x:v>
      </x:c>
      <x:c r="B45" s="41" t="str">
        <x:v>Minimum Sensitivity &amp; Safety Validation</x:v>
      </x:c>
      <x:c r="C45" s="41" t="str">
        <x:v>Preventive</x:v>
      </x:c>
      <x:c r="D45" s="41" t="str">
        <x:v>Quentin Duckwell - Director Product Safety &amp; Quality</x:v>
      </x:c>
      <x:c r="E45" s="41" t="str">
        <x:v>Partially implemented</x:v>
      </x:c>
      <x:c r="F45" s="41" t="str">
        <x:v>AI-004-R01</x:v>
      </x:c>
      <x:c r="G45" s="41" t="str"/>
      <x:c r="H45" s="41" t="str"/>
      <x:c r="I45" s="41" t="str">
        <x:v>No linked evidence ID</x:v>
      </x:c>
      <x:c r="J45" s="41" t="str">
        <x:v>Design/status assertion — evidence ID absent</x:v>
      </x:c>
      <x:c r="K45" s="41" t="str">
        <x:v>No additional credit</x:v>
      </x:c>
      <x:c r="L45" s="41" t="str">
        <x:v>Provide implementation and operating evidence with stable ID.</x:v>
      </x:c>
    </x:row>
    <x:row r="46">
      <x:c r="A46" s="41" t="str">
        <x:v>WI-03</x:v>
      </x:c>
      <x:c r="B46" s="41" t="str">
        <x:v>Independent QA Sampling &amp; Defect-Escape Monitoring</x:v>
      </x:c>
      <x:c r="C46" s="41" t="str">
        <x:v>Detective</x:v>
      </x:c>
      <x:c r="D46" s="41" t="str">
        <x:v>Quentin Duckwell - Director Product Safety &amp; Quality</x:v>
      </x:c>
      <x:c r="E46" s="41" t="str">
        <x:v>Planned</x:v>
      </x:c>
      <x:c r="F46" s="41" t="str">
        <x:v>AI-004-R01; AI-004-R03</x:v>
      </x:c>
      <x:c r="G46" s="41" t="str"/>
      <x:c r="H46" s="41" t="str"/>
      <x:c r="I46" s="41" t="str">
        <x:v>No linked evidence ID</x:v>
      </x:c>
      <x:c r="J46" s="41" t="str">
        <x:v>Planned</x:v>
      </x:c>
      <x:c r="K46" s="41" t="str">
        <x:v>No current credit</x:v>
      </x:c>
      <x:c r="L46" s="41" t="str">
        <x:v>Implement, assign evidence ID, operate and test.</x:v>
      </x:c>
    </x:row>
    <x:row r="47">
      <x:c r="A47" s="41" t="str">
        <x:v>WI-04</x:v>
      </x:c>
      <x:c r="B47" s="41" t="str">
        <x:v>Fail-Safe Manual Fallback &amp; Stop Rule</x:v>
      </x:c>
      <x:c r="C47" s="41" t="str">
        <x:v>Corrective</x:v>
      </x:c>
      <x:c r="D47" s="41" t="str">
        <x:v>Henrietta Duckwell - Director Manufacturing</x:v>
      </x:c>
      <x:c r="E47" s="41" t="str">
        <x:v>Planned</x:v>
      </x:c>
      <x:c r="F47" s="41" t="str">
        <x:v>AI-004-R01</x:v>
      </x:c>
      <x:c r="G47" s="41" t="str"/>
      <x:c r="H47" s="41" t="str"/>
      <x:c r="I47" s="41" t="str">
        <x:v>No linked evidence ID</x:v>
      </x:c>
      <x:c r="J47" s="41" t="str">
        <x:v>Planned</x:v>
      </x:c>
      <x:c r="K47" s="41" t="str">
        <x:v>No current credit</x:v>
      </x:c>
      <x:c r="L47" s="41" t="str">
        <x:v>Implement, assign evidence ID, operate and test.</x:v>
      </x:c>
    </x:row>
    <x:row r="48">
      <x:c r="A48" s="41" t="str">
        <x:v>WI-05</x:v>
      </x:c>
      <x:c r="B48" s="41" t="str">
        <x:v>False-Positive Tuning &amp; QA Feedback Loop</x:v>
      </x:c>
      <x:c r="C48" s="41" t="str">
        <x:v>Corrective</x:v>
      </x:c>
      <x:c r="D48" s="41" t="str">
        <x:v>Dr. Ada Duckfield - Head of Data &amp; AI</x:v>
      </x:c>
      <x:c r="E48" s="41" t="str">
        <x:v>Planned</x:v>
      </x:c>
      <x:c r="F48" s="41" t="str">
        <x:v>AI-004-R02</x:v>
      </x:c>
      <x:c r="G48" s="41" t="str"/>
      <x:c r="H48" s="41" t="str"/>
      <x:c r="I48" s="41" t="str">
        <x:v>No linked evidence ID</x:v>
      </x:c>
      <x:c r="J48" s="41" t="str">
        <x:v>Planned</x:v>
      </x:c>
      <x:c r="K48" s="41" t="str">
        <x:v>No current credit</x:v>
      </x:c>
      <x:c r="L48" s="41" t="str">
        <x:v>Implement, assign evidence ID, operate and test.</x:v>
      </x:c>
    </x:row>
    <x:row r="49">
      <x:c r="A49" s="42" t="str">
        <x:v>WI-06</x:v>
      </x:c>
      <x:c r="B49" s="42" t="str">
        <x:v>Change-Triggered Revalidation &amp; Locked Baseline</x:v>
      </x:c>
      <x:c r="C49" s="42" t="str">
        <x:v>Preventive</x:v>
      </x:c>
      <x:c r="D49" s="42" t="str">
        <x:v>Dr. Ada Duckfield - Head of Data &amp; AI</x:v>
      </x:c>
      <x:c r="E49" s="42" t="str">
        <x:v>Partially implemented</x:v>
      </x:c>
      <x:c r="F49" s="42" t="str">
        <x:v>AI-004-R03</x:v>
      </x:c>
      <x:c r="G49" s="42" t="str"/>
      <x:c r="H49" s="42" t="str"/>
      <x:c r="I49" s="42" t="str">
        <x:v>No linked evidence ID</x:v>
      </x:c>
      <x:c r="J49" s="42" t="str">
        <x:v>Design/status assertion — evidence ID absent</x:v>
      </x:c>
      <x:c r="K49" s="42" t="str">
        <x:v>No additional credit</x:v>
      </x:c>
      <x:c r="L49" s="42" t="str">
        <x:v>Provide implementation and operating evidence with stable ID.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f0f6e3d235f4c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5" hidden="0" customWidth="1"/>
    <x:col min="4" max="4" width="27" hidden="0" customWidth="1"/>
    <x:col min="5" max="5" width="46" hidden="0" customWidth="1"/>
    <x:col min="6" max="6" width="43" hidden="0" customWidth="1"/>
    <x:col min="7" max="7" width="65" hidden="0" customWidth="1"/>
    <x:col min="8" max="8" width="23" hidden="0" customWidth="1"/>
  </x:cols>
  <x:sheetData>
    <x:row r="1" ht="30" customHeight="1">
      <x:c r="A1" s="2" t="str">
        <x:v>Evidence Index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Exact evidence objects and their bounded states; Not available records remain visible</x:v>
      </x:c>
      <x:c r="B2" s="5"/>
      <x:c r="C2" s="5"/>
      <x:c r="D2" s="5"/>
      <x:c r="E2" s="5"/>
      <x:c r="F2" s="5"/>
      <x:c r="G2" s="5"/>
      <x:c r="H2" s="5"/>
    </x:row>
    <x:row r="4" ht="32" customHeight="1">
      <x:c r="A4" s="32" t="str">
        <x:v>Evidence ID</x:v>
      </x:c>
      <x:c r="B4" s="32" t="str">
        <x:v>AI System</x:v>
      </x:c>
      <x:c r="C4" s="32" t="str">
        <x:v>Risk ID</x:v>
      </x:c>
      <x:c r="D4" s="32" t="str">
        <x:v>Control ID(s)</x:v>
      </x:c>
      <x:c r="E4" s="32" t="str">
        <x:v>Artifact</x:v>
      </x:c>
      <x:c r="F4" s="32" t="str">
        <x:v>Evidence State</x:v>
      </x:c>
      <x:c r="G4" s="32" t="str">
        <x:v>What It Demonstrates</x:v>
      </x:c>
      <x:c r="H4" s="32" t="str">
        <x:v>Production Effectiveness?</x:v>
      </x:c>
    </x:row>
    <x:row r="5">
      <x:c r="A5" s="40" t="str">
        <x:v>EV-AI004-001</x:v>
      </x:c>
      <x:c r="B5" s="40" t="str">
        <x:v>AI-004 — WingInspect Vision</x:v>
      </x:c>
      <x:c r="C5" s="40" t="str">
        <x:v>AI-004-R01</x:v>
      </x:c>
      <x:c r="D5" s="40" t="str">
        <x:v>WI-01</x:v>
      </x:c>
      <x:c r="E5" s="40" t="str">
        <x:v>Control Implementation Card</x:v>
      </x:c>
      <x:c r="F5" s="40" t="str">
        <x:v>Designed</x:v>
      </x:c>
      <x:c r="G5" s="40" t="str">
        <x:v>Control objective, owner, trigger, evidence requirements, and measurement approach</x:v>
      </x:c>
      <x:c r="H5" s="40" t="str">
        <x:v>No</x:v>
      </x:c>
    </x:row>
    <x:row r="6">
      <x:c r="A6" s="41" t="str">
        <x:v>EV-AI004-002</x:v>
      </x:c>
      <x:c r="B6" s="41" t="str">
        <x:v>AI-004 — WingInspect Vision</x:v>
      </x:c>
      <x:c r="C6" s="41" t="str">
        <x:v>AI-004-R01</x:v>
      </x:c>
      <x:c r="D6" s="41" t="str">
        <x:v>WI-01</x:v>
      </x:c>
      <x:c r="E6" s="41" t="str">
        <x:v>Synthetic Inspection Log</x:v>
      </x:c>
      <x:c r="F6" s="41" t="str">
        <x:v>Synthetic execution demonstrated</x:v>
      </x:c>
      <x:c r="G6" s="41" t="str">
        <x:v>Human decision workflow, override authority, timestamps, and final disposition trail</x:v>
      </x:c>
      <x:c r="H6" s="41" t="str">
        <x:v>No</x:v>
      </x:c>
    </x:row>
    <x:row r="7">
      <x:c r="A7" s="41" t="str">
        <x:v>EV-AI004-003</x:v>
      </x:c>
      <x:c r="B7" s="41" t="str">
        <x:v>AI-004 — WingInspect Vision</x:v>
      </x:c>
      <x:c r="C7" s="41" t="str">
        <x:v>AI-004-R01</x:v>
      </x:c>
      <x:c r="D7" s="41" t="str">
        <x:v>WI-01</x:v>
      </x:c>
      <x:c r="E7" s="41" t="str">
        <x:v>Human Release Gate Control Test</x:v>
      </x:c>
      <x:c r="F7" s="41" t="str">
        <x:v>Synthetic operation tested</x:v>
      </x:c>
      <x:c r="G7" s="41" t="str">
        <x:v>Control execution against the complete synthetic population</x:v>
      </x:c>
      <x:c r="H7" s="41" t="str">
        <x:v>No</x:v>
      </x:c>
    </x:row>
    <x:row r="8">
      <x:c r="A8" s="41" t="str">
        <x:v>EV-AI004-004</x:v>
      </x:c>
      <x:c r="B8" s="41" t="str">
        <x:v>AI-004 — WingInspect Vision</x:v>
      </x:c>
      <x:c r="C8" s="41" t="str">
        <x:v>AI-004-R01</x:v>
      </x:c>
      <x:c r="D8" s="41" t="str">
        <x:v>WI-01</x:v>
      </x:c>
      <x:c r="E8" s="41" t="str">
        <x:v>Production Inspection Records</x:v>
      </x:c>
      <x:c r="F8" s="41" t="str">
        <x:v>Not available</x:v>
      </x:c>
      <x:c r="G8" s="41" t="str">
        <x:v>Real-world operating evidence</x:v>
      </x:c>
      <x:c r="H8" s="41" t="str">
        <x:v>No</x:v>
      </x:c>
    </x:row>
    <x:row r="9">
      <x:c r="A9" s="41" t="str">
        <x:v>EV-AI004-005</x:v>
      </x:c>
      <x:c r="B9" s="41" t="str">
        <x:v>AI-004 — WingInspect Vision</x:v>
      </x:c>
      <x:c r="C9" s="41" t="str">
        <x:v>AI-004-R01</x:v>
      </x:c>
      <x:c r="D9" s="41" t="str">
        <x:v>WI-01</x:v>
      </x:c>
      <x:c r="E9" s="41" t="str">
        <x:v>Post-release Material Defect Trend</x:v>
      </x:c>
      <x:c r="F9" s="41" t="str">
        <x:v>Not available</x:v>
      </x:c>
      <x:c r="G9" s="41" t="str">
        <x:v>Outcome effectiveness / risk-reduction evidence</x:v>
      </x:c>
      <x:c r="H9" s="41" t="str">
        <x:v>No</x:v>
      </x:c>
    </x:row>
    <x:row r="10">
      <x:c r="A10" s="41" t="str">
        <x:v>EV-AI005-001</x:v>
      </x:c>
      <x:c r="B10" s="41" t="str">
        <x:v>AI-005 — DuckTalent AI</x:v>
      </x:c>
      <x:c r="C10" s="41" t="str">
        <x:v>AI-005-R01</x:v>
      </x:c>
      <x:c r="D10" s="41" t="str">
        <x:v>DT-01 / DT-02</x:v>
      </x:c>
      <x:c r="E10" s="41" t="str">
        <x:v>Control Implementation Card</x:v>
      </x:c>
      <x:c r="F10" s="41" t="str">
        <x:v>Designed</x:v>
      </x:c>
      <x:c r="G10" s="41" t="str">
        <x:v>Fairness-risk objective, owner, triggers, evidence, gate rule, metrics, and legal/evidence boundaries</x:v>
      </x:c>
      <x:c r="H10" s="41" t="str">
        <x:v>No</x:v>
      </x:c>
    </x:row>
    <x:row r="11">
      <x:c r="A11" s="41" t="str">
        <x:v>EV-AI005-002</x:v>
      </x:c>
      <x:c r="B11" s="41" t="str">
        <x:v>AI-005 — DuckTalent AI</x:v>
      </x:c>
      <x:c r="C11" s="41" t="str">
        <x:v>AI-005-R01</x:v>
      </x:c>
      <x:c r="D11" s="41" t="str">
        <x:v>DT-01 / DT-02</x:v>
      </x:c>
      <x:c r="E11" s="41" t="str">
        <x:v>Synthetic Applicant Fairness Test Dataset</x:v>
      </x:c>
      <x:c r="F11" s="41" t="str">
        <x:v>Designed test input</x:v>
      </x:c>
      <x:c r="G11" s="41" t="str">
        <x:v>Twenty-four synthetic applicants arranged as twelve matched pairs with approved job-related test features held equal within pairs</x:v>
      </x:c>
      <x:c r="H11" s="41" t="str">
        <x:v>No</x:v>
      </x:c>
    </x:row>
    <x:row r="12">
      <x:c r="A12" s="41" t="str">
        <x:v>EV-AI005-003</x:v>
      </x:c>
      <x:c r="B12" s="41" t="str">
        <x:v>AI-005 — DuckTalent AI</x:v>
      </x:c>
      <x:c r="C12" s="41" t="str">
        <x:v>AI-005-R01</x:v>
      </x:c>
      <x:c r="D12" s="41" t="str">
        <x:v>DT-02</x:v>
      </x:c>
      <x:c r="E12" s="41" t="str">
        <x:v>Executable Fairness &amp; Adverse-Impact Test</x:v>
      </x:c>
      <x:c r="F12" s="41" t="str">
        <x:v>Synthetic technical implementation demonstrated</x:v>
      </x:c>
      <x:c r="G12" s="41" t="str">
        <x:v>Reproducible test logic for feature allow-list conformance, matched-pair analysis, disparity diagnostics, deployment gating, remediation, and retest</x:v>
      </x:c>
      <x:c r="H12" s="41" t="str">
        <x:v>No</x:v>
      </x:c>
    </x:row>
    <x:row r="13">
      <x:c r="A13" s="41" t="str">
        <x:v>EV-AI005-004</x:v>
      </x:c>
      <x:c r="B13" s="41" t="str">
        <x:v>AI-005 — DuckTalent AI</x:v>
      </x:c>
      <x:c r="C13" s="41" t="str">
        <x:v>AI-005-R01</x:v>
      </x:c>
      <x:c r="D13" s="41" t="str">
        <x:v>DT-02</x:v>
      </x:c>
      <x:c r="E13" s="41" t="str">
        <x:v>Fairness Test Results</x:v>
      </x:c>
      <x:c r="F13" s="41" t="str">
        <x:v>Synthetic fairness execution demonstrated</x:v>
      </x:c>
      <x:c r="G13" s="41" t="str">
        <x:v>Pre/post-remediation scores, shortlist outcomes, error types, and matched synthetic population results</x:v>
      </x:c>
      <x:c r="H13" s="41" t="str">
        <x:v>No</x:v>
      </x:c>
    </x:row>
    <x:row r="14">
      <x:c r="A14" s="41" t="str">
        <x:v>EV-AI005-005</x:v>
      </x:c>
      <x:c r="B14" s="41" t="str">
        <x:v>AI-005 — DuckTalent AI</x:v>
      </x:c>
      <x:c r="C14" s="41" t="str">
        <x:v>AI-005-R01</x:v>
      </x:c>
      <x:c r="D14" s="41" t="str">
        <x:v>DT-02</x:v>
      </x:c>
      <x:c r="E14" s="41" t="str">
        <x:v>Seeded Fairness / Proxy-Feature Exception</x:v>
      </x:c>
      <x:c r="F14" s="41" t="str">
        <x:v>Synthetic failure detection / gate response demonstrated</x:v>
      </x:c>
      <x:c r="G14" s="41" t="str">
        <x:v>Detection of the intentionally unapproved `Career_Gap_Months` penalty, measurable matched-pair effect, deployment block, remediation, and retest requirement</x:v>
      </x:c>
      <x:c r="H14" s="41" t="str">
        <x:v>No</x:v>
      </x:c>
    </x:row>
    <x:row r="15">
      <x:c r="A15" s="41" t="str">
        <x:v>EV-AI005-006</x:v>
      </x:c>
      <x:c r="B15" s="41" t="str">
        <x:v>AI-005 — DuckTalent AI</x:v>
      </x:c>
      <x:c r="C15" s="41" t="str">
        <x:v>AI-005-R01</x:v>
      </x:c>
      <x:c r="D15" s="41" t="str">
        <x:v>DT-02</x:v>
      </x:c>
      <x:c r="E15" s="41" t="str">
        <x:v>Fairness Control Test</x:v>
      </x:c>
      <x:c r="F15" s="41" t="str">
        <x:v>Synthetic operation tested</x:v>
      </x:c>
      <x:c r="G15" s="41" t="str">
        <x:v>Ten control assertions over the complete synthetic population and conclusion that DT-02 operated as designed within the portfolio scenario</x:v>
      </x:c>
      <x:c r="H15" s="41" t="str">
        <x:v>No</x:v>
      </x:c>
    </x:row>
    <x:row r="16">
      <x:c r="A16" s="41" t="str">
        <x:v>EV-AI005-007</x:v>
      </x:c>
      <x:c r="B16" s="41" t="str">
        <x:v>AI-005 — DuckTalent AI</x:v>
      </x:c>
      <x:c r="C16" s="41" t="str">
        <x:v>AI-005-R01</x:v>
      </x:c>
      <x:c r="D16" s="41" t="str">
        <x:v>DT-01 / DT-02</x:v>
      </x:c>
      <x:c r="E16" s="41" t="str">
        <x:v>Production Feature-Governance / Fairness Evidence</x:v>
      </x:c>
      <x:c r="F16" s="41" t="str">
        <x:v>Not available</x:v>
      </x:c>
      <x:c r="G16" s="41" t="str">
        <x:v>Real job-relevance approval, production feature inventory, lawful group-data method, representative validation, and actual model/version evidence</x:v>
      </x:c>
      <x:c r="H16" s="41" t="str">
        <x:v>No</x:v>
      </x:c>
    </x:row>
    <x:row r="17">
      <x:c r="A17" s="41" t="str">
        <x:v>EV-AI005-008</x:v>
      </x:c>
      <x:c r="B17" s="41" t="str">
        <x:v>AI-005 — DuckTalent AI</x:v>
      </x:c>
      <x:c r="C17" s="41" t="str">
        <x:v>AI-005-R01</x:v>
      </x:c>
      <x:c r="D17" s="41" t="str">
        <x:v>DT-02 / DT-07</x:v>
      </x:c>
      <x:c r="E17" s="41" t="str">
        <x:v>Real Applicant Outcome / Challenge Trend</x:v>
      </x:c>
      <x:c r="F17" s="41" t="str">
        <x:v>Not available</x:v>
      </x:c>
      <x:c r="G17" s="41" t="str">
        <x:v>Production fairness, contestability, error, complaint, and rights-impact outcome evidence</x:v>
      </x:c>
      <x:c r="H17" s="41" t="str">
        <x:v>No</x:v>
      </x:c>
    </x:row>
    <x:row r="18">
      <x:c r="A18" s="41" t="str">
        <x:v>EV-AI005-009</x:v>
      </x:c>
      <x:c r="B18" s="41" t="str">
        <x:v>AI-005 — DuckTalent AI</x:v>
      </x:c>
      <x:c r="C18" s="41" t="str">
        <x:v>AI-005-R01</x:v>
      </x:c>
      <x:c r="D18" s="41" t="str">
        <x:v>DT-01 / DT-02 / Governance Gate</x:v>
      </x:c>
      <x:c r="E18" s="41" t="str">
        <x:v>Synthetic Pre-Deployment Governance Gate Decision Record</x:v>
      </x:c>
      <x:c r="F18" s="41" t="str">
        <x:v>Synthetic lifecycle decision demonstrated</x:v>
      </x:c>
      <x:c r="G18" s="41" t="str">
        <x:v>Risk, impact, rights/privacy, model-documentation and control-test evidence are consumed at a lifecycle gate; advancement to a real-applicant pilot is denied, blocking conditions are recorded, and a reassessment trigger is defined</x:v>
      </x:c>
      <x:c r="H18" s="41" t="str">
        <x:v>No</x:v>
      </x:c>
    </x:row>
    <x:row r="19">
      <x:c r="A19" s="41" t="str">
        <x:v>EV-AI005-010</x:v>
      </x:c>
      <x:c r="B19" s="41" t="str">
        <x:v>AI-005 — DuckTalent AI</x:v>
      </x:c>
      <x:c r="C19" s="41" t="str">
        <x:v>AI-005-R01</x:v>
      </x:c>
      <x:c r="D19" s="41" t="str">
        <x:v>Change / Monitoring</x:v>
      </x:c>
      <x:c r="E19" s="41" t="str">
        <x:v>Synthetic Proposed Change Event `DT-CHG-001`</x:v>
      </x:c>
      <x:c r="F19" s="41" t="str">
        <x:v>Synthetic material-change input</x:v>
      </x:c>
      <x:c r="G19" s="41" t="str">
        <x:v>A proposed, unapproved feature/ranking configuration deliberately reintroduces `Career_Gap_Months` after prior remediation</x:v>
      </x:c>
      <x:c r="H19" s="41" t="str">
        <x:v>No</x:v>
      </x:c>
    </x:row>
    <x:row r="20">
      <x:c r="A20" s="41" t="str">
        <x:v>EV-AI005-011</x:v>
      </x:c>
      <x:c r="B20" s="41" t="str">
        <x:v>AI-005 — DuckTalent AI</x:v>
      </x:c>
      <x:c r="C20" s="41" t="str">
        <x:v>AI-005-R01</x:v>
      </x:c>
      <x:c r="D20" s="41" t="str">
        <x:v>DT-01 / DT-02 / Change Monitoring</x:v>
      </x:c>
      <x:c r="E20" s="41" t="str">
        <x:v>Executable Change-Regression Check</x:v>
      </x:c>
      <x:c r="F20" s="41" t="str">
        <x:v>Synthetic monitoring mechanism demonstrated</x:v>
      </x:c>
      <x:c r="G20" s="41" t="str">
        <x:v>Canonical DT-02 allow-list and matched-pair dataset are reused to test the proposed change for unapproved features and recreated outcome effects</x:v>
      </x:c>
      <x:c r="H20" s="41" t="str">
        <x:v>No</x:v>
      </x:c>
    </x:row>
    <x:row r="21">
      <x:c r="A21" s="41" t="str">
        <x:v>EV-AI005-012</x:v>
      </x:c>
      <x:c r="B21" s="41" t="str">
        <x:v>AI-005 — DuckTalent AI</x:v>
      </x:c>
      <x:c r="C21" s="41" t="str">
        <x:v>AI-005-R01</x:v>
      </x:c>
      <x:c r="D21" s="41" t="str">
        <x:v>DT-01 / DT-02 / Reassessment Trigger</x:v>
      </x:c>
      <x:c r="E21" s="41" t="str">
        <x:v>Change-Regression Result `DT-MON-001 / DT-TRG-001`</x:v>
      </x:c>
      <x:c r="F21" s="41" t="str">
        <x:v>Synthetic reassessment trigger demonstrated</x:v>
      </x:c>
      <x:c r="G21" s="41" t="str">
        <x:v>Seven monitoring assertions pass; the unapproved feature and recreated synthetic disparity are detected; the proposed configuration is rejected and `IR-001` is opened</x:v>
      </x:c>
      <x:c r="H21" s="41" t="str">
        <x:v>No</x:v>
      </x:c>
    </x:row>
    <x:row r="22">
      <x:c r="A22" s="41" t="str">
        <x:v>EV-AI005-013</x:v>
      </x:c>
      <x:c r="B22" s="41" t="str">
        <x:v>AI-005 — DuckTalent AI</x:v>
      </x:c>
      <x:c r="C22" s="41" t="str">
        <x:v>AI-005-R01</x:v>
      </x:c>
      <x:c r="D22" s="41" t="str">
        <x:v>Risk / Impact / Rights / Privacy / Model / Controls</x:v>
      </x:c>
      <x:c r="E22" s="41" t="str">
        <x:v>Reassessment Record `IR-001`</x:v>
      </x:c>
      <x:c r="F22" s="41" t="str">
        <x:v>Synthetic reassessment performed</x:v>
      </x:c>
      <x:c r="G22" s="41" t="str">
        <x:v>Affected governance records are explicitly reopened; current Critical risk, DT-01/DT-02 status and DO NOT DEPLOY position are revalidated</x:v>
      </x:c>
      <x:c r="H22" s="41" t="str">
        <x:v>No</x:v>
      </x:c>
    </x:row>
    <x:row r="23">
      <x:c r="A23" s="41" t="str">
        <x:v>EV-AI005-014</x:v>
      </x:c>
      <x:c r="B23" s="41" t="str">
        <x:v>AI-005 — DuckTalent AI</x:v>
      </x:c>
      <x:c r="C23" s="41" t="str">
        <x:v>AI-005-R01</x:v>
      </x:c>
      <x:c r="D23" s="41" t="str">
        <x:v>Governance Gate / Change Control</x:v>
      </x:c>
      <x:c r="E23" s="41" t="str">
        <x:v>Revised Governance Gate Decision</x:v>
      </x:c>
      <x:c r="F23" s="41" t="str">
        <x:v>Synthetic revised lifecycle decision demonstrated</x:v>
      </x:c>
      <x:c r="G23" s="41" t="str">
        <x:v>`DT-CHG-001` is rejected, the prior real-applicant block is preserved, and future material ranking/criteria/weight/feature changes are conditioned on version-diff and DT-02 regression evidence</x:v>
      </x:c>
      <x:c r="H23" s="41" t="str">
        <x:v>No</x:v>
      </x:c>
    </x:row>
    <x:row r="24">
      <x:c r="A24" s="41" t="str">
        <x:v>EV-AI006-001</x:v>
      </x:c>
      <x:c r="B24" s="41" t="str">
        <x:v>AI-006 — PondGPT</x:v>
      </x:c>
      <x:c r="C24" s="41" t="str">
        <x:v>AI-006-R01</x:v>
      </x:c>
      <x:c r="D24" s="41" t="str">
        <x:v>PG-01 / PG-02</x:v>
      </x:c>
      <x:c r="E24" s="41" t="str">
        <x:v>Control Implementation Card</x:v>
      </x:c>
      <x:c r="F24" s="41" t="str">
        <x:v>Designed</x:v>
      </x:c>
      <x:c r="G24" s="41" t="str">
        <x:v>Authorization-risk objective, owner, triggers, evidence, gate rule, and measurement approach</x:v>
      </x:c>
      <x:c r="H24" s="41" t="str">
        <x:v>No</x:v>
      </x:c>
    </x:row>
    <x:row r="25">
      <x:c r="A25" s="41" t="str">
        <x:v>EV-AI006-002</x:v>
      </x:c>
      <x:c r="B25" s="41" t="str">
        <x:v>AI-006 — PondGPT</x:v>
      </x:c>
      <x:c r="C25" s="41" t="str">
        <x:v>AI-006-R01</x:v>
      </x:c>
      <x:c r="D25" s="41" t="str">
        <x:v>PG-01 / PG-02</x:v>
      </x:c>
      <x:c r="E25" s="41" t="str">
        <x:v>Synthetic Authorization Matrix</x:v>
      </x:c>
      <x:c r="F25" s="41" t="str">
        <x:v>Designed test input</x:v>
      </x:c>
      <x:c r="G25" s="41" t="str">
        <x:v>Personas, source entitlements, repository exclusions, and DLP expectations</x:v>
      </x:c>
      <x:c r="H25" s="41" t="str">
        <x:v>No</x:v>
      </x:c>
    </x:row>
    <x:row r="26">
      <x:c r="A26" s="41" t="str">
        <x:v>EV-AI006-003</x:v>
      </x:c>
      <x:c r="B26" s="41" t="str">
        <x:v>AI-006 — PondGPT</x:v>
      </x:c>
      <x:c r="C26" s="41" t="str">
        <x:v>AI-006-R01</x:v>
      </x:c>
      <x:c r="D26" s="41" t="str">
        <x:v>PG-02</x:v>
      </x:c>
      <x:c r="E26" s="41" t="str">
        <x:v>Executable Permission Regression Control</x:v>
      </x:c>
      <x:c r="F26" s="41" t="str">
        <x:v>Synthetic technical implementation demonstrated</x:v>
      </x:c>
      <x:c r="G26" s="41" t="str">
        <x:v>Reproducible control logic that executes authorization, DLP, change, exception, gate, and retest assertions</x:v>
      </x:c>
      <x:c r="H26" s="41" t="str">
        <x:v>No</x:v>
      </x:c>
    </x:row>
    <x:row r="27">
      <x:c r="A27" s="41" t="str">
        <x:v>EV-AI006-004</x:v>
      </x:c>
      <x:c r="B27" s="41" t="str">
        <x:v>AI-006 — PondGPT</x:v>
      </x:c>
      <x:c r="C27" s="41" t="str">
        <x:v>AI-006-R01</x:v>
      </x:c>
      <x:c r="D27" s="41" t="str">
        <x:v>PG-02</x:v>
      </x:c>
      <x:c r="E27" s="41" t="str">
        <x:v>Permission Regression Test Log</x:v>
      </x:c>
      <x:c r="F27" s="41" t="str">
        <x:v>Synthetic technical execution demonstrated</x:v>
      </x:c>
      <x:c r="G27" s="41" t="str">
        <x:v>Twenty executed assertions across normal access, denials, exclusions, DLP, permission changes, seeded defect, remediation, and retest</x:v>
      </x:c>
      <x:c r="H27" s="41" t="str">
        <x:v>No</x:v>
      </x:c>
    </x:row>
    <x:row r="28">
      <x:c r="A28" s="41" t="str">
        <x:v>EV-AI006-005</x:v>
      </x:c>
      <x:c r="B28" s="41" t="str">
        <x:v>AI-006 — PondGPT</x:v>
      </x:c>
      <x:c r="C28" s="41" t="str">
        <x:v>AI-006-R01</x:v>
      </x:c>
      <x:c r="D28" s="41" t="str">
        <x:v>PG-02</x:v>
      </x:c>
      <x:c r="E28" s="41" t="str">
        <x:v>Seeded Authorization Exception</x:v>
      </x:c>
      <x:c r="F28" s="41" t="str">
        <x:v>Synthetic failure detection / containment demonstrated</x:v>
      </x:c>
      <x:c r="G28" s="41" t="str">
        <x:v>Detection of an intentionally misconfigured Finance connector ACL, alert generation, expansion blocking, and remediation tracking</x:v>
      </x:c>
      <x:c r="H28" s="41" t="str">
        <x:v>No</x:v>
      </x:c>
    </x:row>
    <x:row r="29">
      <x:c r="A29" s="41" t="str">
        <x:v>EV-AI006-006</x:v>
      </x:c>
      <x:c r="B29" s="41" t="str">
        <x:v>AI-006 — PondGPT</x:v>
      </x:c>
      <x:c r="C29" s="41" t="str">
        <x:v>AI-006-R01</x:v>
      </x:c>
      <x:c r="D29" s="41" t="str">
        <x:v>PG-02</x:v>
      </x:c>
      <x:c r="E29" s="41" t="str">
        <x:v>Permission Regression Control Test</x:v>
      </x:c>
      <x:c r="F29" s="41" t="str">
        <x:v>Synthetic operation tested</x:v>
      </x:c>
      <x:c r="G29" s="41" t="str">
        <x:v>Full-population control test and conclusion that PG-02 operated as designed within the synthetic population</x:v>
      </x:c>
      <x:c r="H29" s="41" t="str">
        <x:v>No</x:v>
      </x:c>
    </x:row>
    <x:row r="30">
      <x:c r="A30" s="41" t="str">
        <x:v>EV-AI006-007</x:v>
      </x:c>
      <x:c r="B30" s="41" t="str">
        <x:v>AI-006 — PondGPT</x:v>
      </x:c>
      <x:c r="C30" s="41" t="str">
        <x:v>AI-006-R01</x:v>
      </x:c>
      <x:c r="D30" s="41" t="str">
        <x:v>PG-01 / PG-02</x:v>
      </x:c>
      <x:c r="E30" s="41" t="str">
        <x:v>Production Permission / DLP / SIEM Records</x:v>
      </x:c>
      <x:c r="F30" s="41" t="str">
        <x:v>Not available</x:v>
      </x:c>
      <x:c r="G30" s="41" t="str">
        <x:v>Real operating evidence for authorization inheritance, DLP, alerting, and change-triggered regression</x:v>
      </x:c>
      <x:c r="H30" s="41" t="str">
        <x:v>No</x:v>
      </x:c>
    </x:row>
    <x:row r="31">
      <x:c r="A31" s="42" t="str">
        <x:v>EV-AI006-008</x:v>
      </x:c>
      <x:c r="B31" s="42" t="str">
        <x:v>AI-006 — PondGPT</x:v>
      </x:c>
      <x:c r="C31" s="42" t="str">
        <x:v>AI-006-R01</x:v>
      </x:c>
      <x:c r="D31" s="42" t="str">
        <x:v>PG-01 / PG-02</x:v>
      </x:c>
      <x:c r="E31" s="42" t="str">
        <x:v>Unauthorized Retrieval Escape Trend</x:v>
      </x:c>
      <x:c r="F31" s="42" t="str">
        <x:v>Not available</x:v>
      </x:c>
      <x:c r="G31" s="42" t="str">
        <x:v>Outcome effectiveness / actual cross-boundary data-exposure rate</x:v>
      </x:c>
      <x:c r="H31" s="42" t="str">
        <x:v>No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f7e1376a1b349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61" hidden="0" customWidth="1"/>
    <x:col min="4" max="4" width="62" hidden="0" customWidth="1"/>
  </x:cols>
  <x:sheetData>
    <x:row r="1" ht="30" customHeight="1">
      <x:c r="A1" s="2" t="str">
        <x:v>Decision Rules</x:v>
      </x:c>
      <x:c r="B1" s="2"/>
      <x:c r="C1" s="2"/>
      <x:c r="D1" s="2"/>
    </x:row>
    <x:row r="2" ht="28" customHeight="1">
      <x:c r="A2" s="5" t="str">
        <x:v>Rules governing whether control evidence can support a residual-risk reduction</x:v>
      </x:c>
      <x:c r="B2" s="5"/>
      <x:c r="C2" s="5"/>
      <x:c r="D2" s="5"/>
    </x:row>
    <x:row r="4" ht="32" customHeight="1">
      <x:c r="A4" s="32" t="str">
        <x:v>Rule ID</x:v>
      </x:c>
      <x:c r="B4" s="32" t="str">
        <x:v>Condition</x:v>
      </x:c>
      <x:c r="C4" s="32" t="str">
        <x:v>Required Treatment</x:v>
      </x:c>
      <x:c r="D4" s="32" t="str">
        <x:v>Prohibited Interpretation</x:v>
      </x:c>
    </x:row>
    <x:row r="5">
      <x:c r="A5" s="40" t="str">
        <x:v>ER-01</x:v>
      </x:c>
      <x:c r="B5" s="40" t="str">
        <x:v>Recorded current score is lower than inherent and no linked operating evidence exists</x:v>
      </x:c>
      <x:c r="C5" s="40" t="str">
        <x:v>Classify reduction unsupported; use inherent risk for production decision until reassessed</x:v>
      </x:c>
      <x:c r="D5" s="40" t="str">
        <x:v>Do not use lower score to relax gate</x:v>
      </x:c>
    </x:row>
    <x:row r="6">
      <x:c r="A6" s="41" t="str">
        <x:v>ER-02</x:v>
      </x:c>
      <x:c r="B6" s="41" t="str">
        <x:v>Only synthetic evidence exists</x:v>
      </x:c>
      <x:c r="C6" s="41" t="str">
        <x:v>Classify reduction provisional and bounded to the portfolio exercise</x:v>
      </x:c>
      <x:c r="D6" s="41" t="str">
        <x:v>Do not claim production effectiveness or validated risk reduction</x:v>
      </x:c>
    </x:row>
    <x:row r="7">
      <x:c r="A7" s="41" t="str">
        <x:v>ER-03</x:v>
      </x:c>
      <x:c r="B7" s="41" t="str">
        <x:v>Current score equals inherent</x:v>
      </x:c>
      <x:c r="C7" s="41" t="str">
        <x:v>Retain score; record available evidence without inferring reduction</x:v>
      </x:c>
      <x:c r="D7" s="41" t="str">
        <x:v>Do not call unreduced score proof of effectiveness</x:v>
      </x:c>
    </x:row>
    <x:row r="8">
      <x:c r="A8" s="41" t="str">
        <x:v>ER-04</x:v>
      </x:c>
      <x:c r="B8" s="41" t="str">
        <x:v>Production evidence is submitted</x:v>
      </x:c>
      <x:c r="C8" s="41" t="str">
        <x:v>Verify exact version, population, period, exceptions, owner and reviewer</x:v>
      </x:c>
      <x:c r="D8" s="41" t="str">
        <x:v>Do not accept screenshots, folder references or status labels alone</x:v>
      </x:c>
    </x:row>
    <x:row r="9">
      <x:c r="A9" s="41" t="str">
        <x:v>ER-05</x:v>
      </x:c>
      <x:c r="B9" s="41" t="str">
        <x:v>Target residual score is shown</x:v>
      </x:c>
      <x:c r="C9" s="41" t="str">
        <x:v>Treat as a treatment objective</x:v>
      </x:c>
      <x:c r="D9" s="41" t="str">
        <x:v>Do not present target as achieved</x:v>
      </x:c>
    </x:row>
    <x:row r="10">
      <x:c r="A10" s="42" t="str">
        <x:v>ER-06</x:v>
      </x:c>
      <x:c r="B10" s="42" t="str">
        <x:v>AI-007 aggregate condition</x:v>
      </x:c>
      <x:c r="C10" s="42" t="str">
        <x:v>Contain, discover and decompose into new AI IDs</x:v>
      </x:c>
      <x:c r="D10" s="42" t="str">
        <x:v>Do not authorize or assess it as one homogeneous system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498e26d90ad4d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62" hidden="0" customWidth="1"/>
    <x:col min="5" max="5" width="35" hidden="0" customWidth="1"/>
    <x:col min="6" max="6" width="17" hidden="0" customWidth="1"/>
    <x:col min="7" max="7" width="50" hidden="0" customWidth="1"/>
  </x:cols>
  <x:sheetData>
    <x:row r="1" ht="30" customHeight="1">
      <x:c r="A1" s="2" t="str">
        <x:v>Remediation Actions</x:v>
      </x:c>
      <x:c r="B1" s="2"/>
      <x:c r="C1" s="2"/>
      <x:c r="D1" s="2"/>
      <x:c r="E1" s="2"/>
      <x:c r="F1" s="2"/>
      <x:c r="G1" s="2"/>
    </x:row>
    <x:row r="2" ht="28" customHeight="1">
      <x:c r="A2" s="5" t="str">
        <x:v>Prioritized actions required to make risk-reduction claims decision-ready</x:v>
      </x:c>
      <x:c r="B2" s="5"/>
      <x:c r="C2" s="5"/>
      <x:c r="D2" s="5"/>
      <x:c r="E2" s="5"/>
      <x:c r="F2" s="5"/>
      <x:c r="G2" s="5"/>
    </x:row>
    <x:row r="4" ht="32" customHeight="1">
      <x:c r="A4" s="32" t="str">
        <x:v>Action ID</x:v>
      </x:c>
      <x:c r="B4" s="32" t="str">
        <x:v>Priority</x:v>
      </x:c>
      <x:c r="C4" s="32" t="str">
        <x:v>Scope</x:v>
      </x:c>
      <x:c r="D4" s="32" t="str">
        <x:v>Action</x:v>
      </x:c>
      <x:c r="E4" s="32" t="str">
        <x:v>Owner</x:v>
      </x:c>
      <x:c r="F4" s="32" t="str">
        <x:v>Status</x:v>
      </x:c>
      <x:c r="G4" s="32" t="str">
        <x:v>Decision Consequence</x:v>
      </x:c>
    </x:row>
    <x:row r="5">
      <x:c r="A5" s="40" t="str">
        <x:v>REC-01</x:v>
      </x:c>
      <x:c r="B5" s="40" t="str">
        <x:v>P1</x:v>
      </x:c>
      <x:c r="C5" s="40" t="str">
        <x:v>AI-003</x:v>
      </x:c>
      <x:c r="D5" s="40" t="str">
        <x:v>Retrieve defined-period production monitoring, back-test, approval/override, data-quality and change evidence</x:v>
      </x:c>
      <x:c r="E5" s="40" t="str">
        <x:v>Director Supply Chain + Head of Data &amp; AI</x:v>
      </x:c>
      <x:c r="F5" s="40" t="str">
        <x:v>Open</x:v>
      </x:c>
      <x:c r="G5" s="40" t="str">
        <x:v>Failure triggers reassessment and possible gate tightening</x:v>
      </x:c>
    </x:row>
    <x:row r="6">
      <x:c r="A6" s="41" t="str">
        <x:v>REC-02</x:v>
      </x:c>
      <x:c r="B6" s="41" t="str">
        <x:v>P1</x:v>
      </x:c>
      <x:c r="C6" s="41" t="str">
        <x:v>AI-001</x:v>
      </x:c>
      <x:c r="D6" s="41" t="str">
        <x:v>Create evidence IDs for engineer approval, validation, version traceability and exceptions</x:v>
      </x:c>
      <x:c r="E6" s="41" t="str">
        <x:v>VP Product &amp; Engineering</x:v>
      </x:c>
      <x:c r="F6" s="41" t="str">
        <x:v>Open</x:v>
      </x:c>
      <x:c r="G6" s="41" t="str">
        <x:v>Production-design reliance remains prohibited</x:v>
      </x:c>
    </x:row>
    <x:row r="7">
      <x:c r="A7" s="41" t="str">
        <x:v>REC-03</x:v>
      </x:c>
      <x:c r="B7" s="41" t="str">
        <x:v>P1</x:v>
      </x:c>
      <x:c r="C7" s="41" t="str">
        <x:v>AI-002</x:v>
      </x:c>
      <x:c r="D7" s="41" t="str">
        <x:v>Create adversarial/RAG, grounding, escalation and impact evidence pack</x:v>
      </x:c>
      <x:c r="E7" s="41" t="str">
        <x:v>Customer Operations + CISO</x:v>
      </x:c>
      <x:c r="F7" s="41" t="str">
        <x:v>Open</x:v>
      </x:c>
      <x:c r="G7" s="41" t="str">
        <x:v>Production block remains</x:v>
      </x:c>
    </x:row>
    <x:row r="8">
      <x:c r="A8" s="41" t="str">
        <x:v>REC-04</x:v>
      </x:c>
      <x:c r="B8" s="41" t="str">
        <x:v>P1</x:v>
      </x:c>
      <x:c r="C8" s="41" t="str">
        <x:v>AI-004</x:v>
      </x:c>
      <x:c r="D8" s="41" t="str">
        <x:v>Add production inspection authorization and defect-outcome evidence</x:v>
      </x:c>
      <x:c r="E8" s="41" t="str">
        <x:v>Director Manufacturing</x:v>
      </x:c>
      <x:c r="F8" s="41" t="str">
        <x:v>Open</x:v>
      </x:c>
      <x:c r="G8" s="41" t="str">
        <x:v>Restricted pilot remains</x:v>
      </x:c>
    </x:row>
    <x:row r="9">
      <x:c r="A9" s="41" t="str">
        <x:v>REC-05</x:v>
      </x:c>
      <x:c r="B9" s="41" t="str">
        <x:v>P1</x:v>
      </x:c>
      <x:c r="C9" s="41" t="str">
        <x:v>AI-006</x:v>
      </x:c>
      <x:c r="D9" s="41" t="str">
        <x:v>Add production permission, connector, DLP/SIEM and regression evidence</x:v>
      </x:c>
      <x:c r="E9" s="41" t="str">
        <x:v>Head of IT &amp; Cloud + CISO</x:v>
      </x:c>
      <x:c r="F9" s="41" t="str">
        <x:v>Open</x:v>
      </x:c>
      <x:c r="G9" s="41" t="str">
        <x:v>Restricted pilot and exclusions remain</x:v>
      </x:c>
    </x:row>
    <x:row r="10">
      <x:c r="A10" s="41" t="str">
        <x:v>REC-06</x:v>
      </x:c>
      <x:c r="B10" s="41" t="str">
        <x:v>P1</x:v>
      </x:c>
      <x:c r="C10" s="41" t="str">
        <x:v>AI-005</x:v>
      </x:c>
      <x:c r="D10" s="41" t="str">
        <x:v>Close system-level blockers beyond DT-02 synthetic testing</x:v>
      </x:c>
      <x:c r="E10" s="41" t="str">
        <x:v>Chief People Officer</x:v>
      </x:c>
      <x:c r="F10" s="41" t="str">
        <x:v>Open</x:v>
      </x:c>
      <x:c r="G10" s="41" t="str">
        <x:v>DO NOT DEPLOY remains</x:v>
      </x:c>
    </x:row>
    <x:row r="11">
      <x:c r="A11" s="41" t="str">
        <x:v>REC-07</x:v>
      </x:c>
      <x:c r="B11" s="41" t="str">
        <x:v>P1</x:v>
      </x:c>
      <x:c r="C11" s="41" t="str">
        <x:v>AI-007</x:v>
      </x:c>
      <x:c r="D11" s="41" t="str">
        <x:v>Create organizational discovery/containment record and decompose discoveries</x:v>
      </x:c>
      <x:c r="E11" s="41" t="str">
        <x:v>CISO + AI Governance Lead</x:v>
      </x:c>
      <x:c r="F11" s="41" t="str">
        <x:v>Open</x:v>
      </x:c>
      <x:c r="G11" s="41" t="str">
        <x:v>No aggregate authorization</x:v>
      </x:c>
    </x:row>
    <x:row r="12">
      <x:c r="A12" s="41" t="str">
        <x:v>REC-08</x:v>
      </x:c>
      <x:c r="B12" s="41" t="str">
        <x:v>P1</x:v>
      </x:c>
      <x:c r="C12" s="41" t="str">
        <x:v>Portfolio</x:v>
      </x:c>
      <x:c r="D12" s="41" t="str">
        <x:v>Consolidate risk register and control framework into v1.1 source documents</x:v>
      </x:c>
      <x:c r="E12" s="41" t="str">
        <x:v>AI Governance Lead</x:v>
      </x:c>
      <x:c r="F12" s="41" t="str">
        <x:v>Open</x:v>
      </x:c>
      <x:c r="G12" s="41" t="str">
        <x:v>This pack remains controlling interpretation until consolidation</x:v>
      </x:c>
    </x:row>
    <x:row r="13">
      <x:c r="A13" s="42" t="str">
        <x:v>REC-09</x:v>
      </x:c>
      <x:c r="B13" s="42" t="str">
        <x:v>P2</x:v>
      </x:c>
      <x:c r="C13" s="42" t="str">
        <x:v>Portfolio</x:v>
      </x:c>
      <x:c r="D13" s="42" t="str">
        <x:v>Assign AI-GOV-03 maintenance cadence and test retrieval/supersession operation</x:v>
      </x:c>
      <x:c r="E13" s="42" t="str">
        <x:v>AI Governance Lead</x:v>
      </x:c>
      <x:c r="F13" s="42" t="str">
        <x:v>Open</x:v>
      </x:c>
      <x:c r="G13" s="42" t="str">
        <x:v>Document-level implementation only</x:v>
      </x:c>
    </x:row>
  </x:sheetData>
  <x:mergeCells>
    <x:mergeCell ref="A1:G1"/>
    <x:mergeCell ref="A2:G2"/>
  </x:mergeCells>
  <x:dataValidations count="1">
    <x:dataValidation type="list" sqref="F5:F50">
      <x:formula1>"Open,In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342c0fb4ff44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3" hidden="0" customWidth="1"/>
    <x:col min="3" max="3" width="50" hidden="0" customWidth="1"/>
    <x:col min="4" max="4" width="57" hidden="0" customWidth="1"/>
  </x:cols>
  <x:sheetData>
    <x:row r="1" ht="30" customHeight="1">
      <x:c r="A1" s="2" t="str">
        <x:v>Source and Maintenance Register</x:v>
      </x:c>
      <x:c r="B1" s="2"/>
      <x:c r="C1" s="2"/>
      <x:c r="D1" s="2"/>
    </x:row>
    <x:row r="2" ht="28" customHeight="1">
      <x:c r="A2" s="5" t="str">
        <x:v>Repository paths and interpretation boundaries used for this reconciliation</x:v>
      </x:c>
      <x:c r="B2" s="5"/>
      <x:c r="C2" s="5"/>
      <x:c r="D2" s="5"/>
    </x:row>
    <x:row r="4" ht="32" customHeight="1">
      <x:c r="A4" s="32" t="str">
        <x:v>Source ID</x:v>
      </x:c>
      <x:c r="B4" s="32" t="str">
        <x:v>Source</x:v>
      </x:c>
      <x:c r="C4" s="32" t="str">
        <x:v>Purpose</x:v>
      </x:c>
      <x:c r="D4" s="32" t="str">
        <x:v>Boundary</x:v>
      </x:c>
    </x:row>
    <x:row r="5">
      <x:c r="A5" s="40" t="str">
        <x:v>SRC-01</x:v>
      </x:c>
      <x:c r="B5" s="40" t="str">
        <x:v>04-risk-assessment/Duckworks_AI_Risk_Scenarios_v1.0.md</x:v>
      </x:c>
      <x:c r="C5" s="40" t="str">
        <x:v>Scenario definitions and recorded scores</x:v>
      </x:c>
      <x:c r="D5" s="40" t="str">
        <x:v>Scores retained, not independently validated</x:v>
      </x:c>
    </x:row>
    <x:row r="6">
      <x:c r="A6" s="41" t="str">
        <x:v>SRC-02</x:v>
      </x:c>
      <x:c r="B6" s="41" t="str">
        <x:v>07-control-framework/Duckworks_AI_Control_Framework_Report_v1.0.md</x:v>
      </x:c>
      <x:c r="C6" s="41" t="str">
        <x:v>Control IDs, owners and source statuses</x:v>
      </x:c>
      <x:c r="D6" s="41" t="str">
        <x:v>Status labels are assertions until evidence-linked</x:v>
      </x:c>
    </x:row>
    <x:row r="7">
      <x:c r="A7" s="41" t="str">
        <x:v>SRC-03</x:v>
      </x:c>
      <x:c r="B7" s="41" t="str">
        <x:v>80-operating-evidence/evidence-index.md</x:v>
      </x:c>
      <x:c r="C7" s="41" t="str">
        <x:v>Evidence IDs and states</x:v>
      </x:c>
      <x:c r="D7" s="41" t="str">
        <x:v>Synthetic evidence is not production effectiveness</x:v>
      </x:c>
    </x:row>
    <x:row r="8">
      <x:c r="A8" s="41" t="str">
        <x:v>SRC-04</x:v>
      </x:c>
      <x:c r="B8" s="41" t="str">
        <x:v>11-assurance-testing-and-evaluation/03-iso42001/duckworks-iso42001-evidence-baseline-v1.1.md</x:v>
      </x:c>
      <x:c r="C8" s="41" t="str">
        <x:v>AIMS evidence rules and actions</x:v>
      </x:c>
      <x:c r="D8" s="41" t="str">
        <x:v>Thematic, not clause-level conformity mapping</x:v>
      </x:c>
    </x:row>
    <x:row r="9">
      <x:c r="A9" s="41" t="str">
        <x:v>SRC-05</x:v>
      </x:c>
      <x:c r="B9" s="41" t="str">
        <x:v>Duckworks_AIMS_Master_Crosswalk_v1.0.xlsx</x:v>
      </x:c>
      <x:c r="C9" s="41" t="str">
        <x:v>Portfolio traceability</x:v>
      </x:c>
      <x:c r="D9" s="41" t="str">
        <x:v>Not yet present in repository at snapshot</x:v>
      </x:c>
    </x:row>
    <x:row r="10">
      <x:c r="A10" s="42" t="str">
        <x:v>SRC-06</x:v>
      </x:c>
      <x:c r="B10" s="42" t="str">
        <x:v>Commit e734ea64d6a9e5db35b59c4855e832aa433b43ad</x:v>
      </x:c>
      <x:c r="C10" s="42" t="str">
        <x:v>Repository snapshot</x:v>
      </x:c>
      <x:c r="D10" s="42" t="str">
        <x:v>Review again after material repository change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412df2006484114"/>
  </x:tableParts>
</x:worksheet>
</file>